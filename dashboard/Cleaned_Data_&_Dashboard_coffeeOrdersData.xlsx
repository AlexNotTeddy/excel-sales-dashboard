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A15F0529-E530-427E-A23A-87A1A734A6DA}" xr6:coauthVersionLast="47" xr6:coauthVersionMax="47" xr10:uidLastSave="{00000000-0000-0000-0000-000000000000}"/>
  <bookViews>
    <workbookView showSheetTabs="0" xWindow="-108" yWindow="-108" windowWidth="23256" windowHeight="12456" xr2:uid="{00000000-000D-0000-FFFF-FFFF00000000}"/>
  </bookViews>
  <sheets>
    <sheet name="Dashboard" sheetId="22" r:id="rId1"/>
    <sheet name="TotalSales" sheetId="18" r:id="rId2"/>
    <sheet name="CountryBarChart" sheetId="19" r:id="rId3"/>
    <sheet name="TotFiveCostu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Q94" i="17" a="1"/>
  <c r="Q94"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<sst xmlns="http://schemas.openxmlformats.org/spreadsheetml/2006/main" count="11128" uniqueCount="6222">
  <si>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</si>
  <si>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</si>
  <si>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</si>
  <si>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</si>
  <si>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</si>
  <si>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</si>
  <si>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</si>
  <si>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</si>
  <si>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</si>
  <si>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</si>
  <si>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</si>
  <si>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</si>
  <si>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</si>
  <si>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</si>
  <si>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</si>
  <si>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</si>
  <si>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</si>
  <si>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</si>
  <si>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</si>
  <si>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</si>
  <si>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</si>
  <si>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</si>
  <si>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</si>
  <si>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</si>
  <si>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</si>
  <si>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</si>
  <si>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</si>
  <si>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</si>
  <si>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</si>
  <si>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</si>
  <si>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</si>
  <si>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</si>
  <si>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</si>
  <si>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</si>
  <si>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</si>
  <si>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</si>
  <si>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</si>
  <si>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</si>
  <si>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</si>
  <si>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</si>
  <si>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</si>
  <si>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</si>
  <si>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</si>
  <si>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</si>
  <si>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</si>
  <si>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</si>
  <si>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</si>
  <si>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</si>
  <si>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</si>
  <si>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</si>
  <si>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</si>
  <si>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</si>
  <si>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</si>
  <si>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</si>
  <si>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</si>
  <si>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</si>
  <si>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</si>
  <si>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</si>
  <si>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</si>
  <si>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</si>
  <si>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</si>
  <si>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</si>
  <si>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</si>
  <si>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</si>
  <si>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</si>
  <si>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</si>
  <si>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</si>
  <si>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</si>
  <si>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</si>
  <si>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</si>
  <si>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</si>
  <si>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</si>
  <si>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</si>
  <si>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</si>
  <si>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</si>
  <si>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</si>
  <si>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</si>
  <si>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</si>
  <si>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</si>
  <si>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</si>
  <si>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</si>
  <si>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</si>
  <si>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</si>
  <si>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</si>
  <si>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</si>
  <si>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</si>
  <si>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</si>
  <si>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</si>
  <si>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</si>
  <si>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</si>
  <si>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</si>
  <si>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</si>
  <si>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</si>
  <si>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</si>
  <si>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</si>
  <si>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</si>
  <si>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</si>
  <si>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</si>
  <si>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</si>
  <si>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</si>
  <si>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</si>
  <si>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</si>
  <si>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</si>
  <si>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</si>
  <si>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</si>
  <si>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</si>
  <si>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</si>
  <si>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</si>
  <si>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</si>
  <si>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</si>
  <si>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</si>
  <si>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</si>
  <si>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</si>
  <si>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</si>
  <si>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</si>
  <si>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</si>
  <si>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</si>
  <si>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</si>
  <si>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</si>
  <si>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</si>
  <si>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</si>
  <si>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</si>
  <si>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</si>
  <si>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</si>
  <si>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</si>
  <si>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</si>
  <si>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</si>
  <si>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</si>
  <si>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</si>
  <si>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</si>
  <si>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</si>
  <si>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</si>
  <si>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</si>
  <si>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</si>
  <si>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</si>
  <si>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</si>
  <si>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</si>
  <si>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</si>
  <si>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</si>
  <si>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</si>
  <si>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</si>
  <si>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</si>
  <si>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</si>
  <si>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</si>
  <si>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</si>
  <si>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</si>
  <si>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</si>
  <si>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</si>
  <si>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</si>
  <si>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</si>
  <si>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</si>
  <si>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</si>
  <si>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</si>
  <si>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</si>
  <si>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</si>
  <si>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</si>
  <si>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</si>
  <si>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</si>
  <si>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</si>
  <si>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</si>
  <si>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</si>
  <si>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</si>
  <si>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</si>
  <si>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</si>
  <si>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</si>
  <si>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</si>
  <si>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</si>
  <si>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</si>
  <si>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</si>
  <si>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</si>
  <si>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</si>
  <si>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</si>
  <si>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</si>
  <si>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</si>
  <si>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</si>
  <si>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</si>
  <si>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</si>
  <si>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</si>
  <si>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</si>
  <si>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</si>
  <si>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</si>
  <si>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</si>
  <si>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</si>
  <si>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</si>
  <si>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</si>
  <si>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</si>
  <si>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</si>
  <si>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</si>
  <si>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</si>
  <si>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</si>
  <si>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</si>
  <si>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</si>
  <si>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</si>
  <si>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</si>
  <si>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</si>
  <si>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</si>
  <si>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</si>
  <si>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</si>
  <si>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</si>
  <si>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</si>
  <si>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</si>
  <si>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</si>
  <si>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</si>
  <si>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</si>
  <si>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</si>
  <si>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</si>
  <si>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</si>
  <si>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</si>
  <si>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</si>
  <si>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</si>
  <si>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</si>
  <si>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</si>
  <si>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</si>
  <si>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</si>
  <si>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</si>
  <si>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</si>
  <si>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</si>
  <si>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</si>
  <si>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</si>
  <si>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</si>
  <si>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</si>
  <si>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</si>
  <si>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</si>
  <si>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</si>
  <si>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</si>
  <si>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</si>
  <si>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</si>
  <si>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</si>
  <si>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</si>
  <si>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</si>
  <si>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</si>
  <si>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</si>
  <si>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</si>
  <si>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</si>
  <si>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</si>
  <si>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</si>
  <si>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</si>
  <si>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</si>
  <si>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</si>
  <si>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</si>
  <si>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</si>
  <si>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</si>
  <si>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</si>
  <si>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</si>
  <si>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</si>
  <si>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</si>
  <si>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</si>
  <si>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</si>
  <si>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</si>
  <si>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</si>
  <si>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</si>
  <si>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</si>
  <si>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</si>
  <si>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</si>
  <si>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</si>
  <si>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</si>
  <si>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</si>
  <si>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</si>
  <si>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</si>
  <si>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</si>
  <si>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</si>
  <si>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</si>
  <si>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</si>
  <si>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</si>
  <si>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</si>
  <si>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</si>
  <si>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</si>
  <si>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</si>
  <si>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</si>
  <si>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</si>
  <si>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</si>
  <si>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</si>
  <si>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</si>
  <si>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</si>
  <si>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</si>
  <si>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</si>
  <si>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</si>
  <si>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</si>
  <si>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</si>
  <si>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</si>
  <si>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</si>
  <si>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</si>
  <si>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</si>
  <si>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</si>
  <si>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</si>
  <si>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</si>
  <si>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</si>
  <si>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</si>
  <si>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</si>
  <si>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</si>
  <si>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</si>
  <si>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</si>
  <si>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</si>
  <si>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</si>
  <si>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</si>
  <si>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</si>
  <si>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</si>
  <si>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</si>
  <si>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</si>
  <si>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</si>
  <si>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</si>
  <si>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</si>
  <si>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</si>
  <si>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</si>
  <si>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</si>
  <si>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</si>
  <si>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</si>
  <si>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</si>
  <si>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</si>
  <si>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</si>
  <si>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</si>
  <si>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</si>
  <si>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</si>
  <si>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</si>
  <si>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</si>
  <si>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</si>
  <si>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</si>
  <si>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</si>
  <si>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</si>
  <si>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</si>
  <si>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</si>
  <si>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</si>
  <si>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</si>
  <si>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</si>
  <si>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</si>
  <si>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</si>
  <si>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</si>
  <si>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</si>
  <si>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</si>
  <si>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</si>
  <si>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</si>
  <si>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</si>
  <si>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</si>
  <si>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</si>
  <si>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</si>
  <si>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</si>
  <si>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</si>
  <si>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</si>
  <si>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</si>
  <si>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</si>
  <si>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</si>
  <si>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</si>
  <si>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</si>
  <si>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</si>
  <si>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</si>
  <si>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</si>
  <si>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</si>
  <si>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</si>
  <si>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</si>
  <si>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</si>
  <si>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</si>
  <si>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</si>
  <si>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</si>
  <si>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</si>
  <si>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</si>
  <si>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</si>
  <si>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</si>
  <si>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</si>
  <si>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</si>
  <si>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</si>
  <si>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</si>
  <si>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</si>
  <si>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</si>
  <si>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</si>
  <si>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</si>
  <si>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</si>
  <si>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</si>
  <si>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</si>
  <si>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</si>
  <si>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</si>
  <si>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</si>
  <si>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</si>
  <si>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</si>
  <si>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</si>
  <si>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</si>
  <si>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</si>
  <si>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</si>
  <si>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</si>
  <si>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</si>
  <si>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</si>
  <si>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</si>
  <si>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</si>
  <si>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</si>
  <si>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</si>
  <si>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</si>
  <si>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</si>
  <si>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</si>
  <si>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</si>
  <si>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</si>
  <si>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</si>
  <si>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</si>
  <si>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</si>
  <si>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</si>
  <si>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</si>
  <si>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</si>
  <si>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</si>
  <si>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</si>
  <si>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</si>
  <si>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</si>
  <si>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</si>
  <si>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</si>
  <si>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</si>
  <si>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</si>
  <si>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</si>
  <si>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</si>
  <si>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</si>
  <si>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</si>
  <si>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</si>
  <si>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</si>
  <si>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</si>
  <si>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</si>
  <si>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</si>
  <si>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</si>
  <si>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</si>
  <si>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</si>
  <si>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</si>
  <si>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</si>
  <si>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</si>
  <si>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</si>
  <si>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</si>
  <si>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</si>
  <si>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</si>
  <si>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</si>
  <si>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</si>
  <si>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</si>
  <si>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</si>
  <si>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</si>
  <si>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</si>
  <si>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</si>
  <si>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</si>
  <si>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</si>
  <si>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</si>
  <si>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</si>
  <si>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</si>
  <si>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</si>
  <si>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</si>
  <si>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</si>
  <si>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</si>
  <si>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</si>
  <si>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</si>
  <si>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</si>
  <si>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</si>
  <si>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</si>
  <si>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</si>
  <si>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</si>
  <si>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</si>
  <si>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</si>
  <si>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</si>
  <si>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</si>
  <si>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</si>
  <si>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</si>
  <si>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</si>
  <si>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</si>
  <si>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</si>
  <si>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</si>
  <si>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</si>
  <si>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</si>
  <si>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</si>
  <si>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</si>
  <si>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</si>
  <si>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</si>
  <si>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</si>
  <si>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</si>
  <si>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</si>
  <si>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</si>
  <si>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</si>
  <si>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</si>
  <si>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</si>
  <si>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</si>
  <si>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</si>
  <si>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</si>
  <si>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</si>
  <si>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</si>
  <si>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</si>
  <si>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</si>
  <si>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</si>
  <si>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</si>
  <si>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</si>
  <si>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</si>
  <si>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</si>
  <si>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</si>
  <si>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</si>
  <si>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</si>
  <si>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</si>
  <si>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</si>
  <si>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</si>
  <si>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</si>
  <si>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</si>
  <si>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</si>
  <si>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</si>
  <si>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</si>
  <si>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</si>
  <si>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</si>
  <si>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</si>
  <si>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</si>
  <si>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</si>
  <si>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</si>
  <si>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</si>
  <si>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</si>
  <si>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</si>
  <si>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</si>
  <si>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</si>
  <si>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</si>
  <si>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</si>
  <si>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</si>
  <si>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</si>
  <si>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</si>
  <si>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</si>
  <si>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</si>
  <si>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</si>
  <si>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</si>
  <si>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</si>
  <si>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</si>
  <si>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</si>
  <si>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</si>
  <si>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</si>
  <si>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</si>
  <si>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</si>
  <si>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</si>
  <si>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</si>
  <si>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</si>
  <si>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</si>
  <si>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</si>
  <si>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</si>
  <si>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</si>
  <si>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</si>
  <si>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</si>
  <si>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</si>
  <si>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</si>
  <si>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</si>
  <si>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</si>
  <si>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</si>
  <si>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</si>
  <si>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</si>
  <si>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</si>
  <si>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</si>
  <si>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</si>
  <si>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</si>
  <si>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</si>
  <si>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</si>
  <si>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</si>
  <si>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</si>
  <si>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</si>
  <si>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</si>
  <si>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</si>
  <si>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</si>
  <si>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</si>
  <si>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</si>
  <si>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</si>
  <si>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</si>
  <si>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</si>
  <si>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</si>
  <si>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</si>
  <si>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</si>
  <si>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</si>
  <si>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</si>
  <si>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</si>
  <si>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</si>
  <si>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</si>
  <si>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</si>
  <si>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</si>
  <si>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</si>
  <si>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</si>
  <si>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</si>
  <si>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</si>
  <si>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</si>
  <si>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</si>
  <si>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</si>
  <si>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</si>
  <si>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</si>
  <si>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</si>
  <si>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</si>
  <si>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</si>
  <si>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</si>
  <si>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</si>
  <si>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</si>
  <si>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</si>
  <si>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</si>
  <si>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</si>
  <si>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</si>
  <si>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</si>
  <si>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</si>
  <si>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</si>
  <si>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</si>
  <si>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</si>
  <si>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</si>
  <si>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</si>
  <si>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</si>
  <si>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</si>
  <si>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</si>
  <si>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</si>
  <si>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</si>
  <si>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</si>
  <si>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</si>
  <si>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</si>
  <si>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</si>
  <si>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</si>
  <si>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</si>
  <si>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</si>
  <si>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</si>
  <si>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</si>
  <si>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</si>
  <si>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</si>
  <si>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</si>
  <si>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</si>
  <si>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</si>
  <si>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</si>
  <si>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</si>
  <si>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</si>
  <si>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</si>
  <si>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</si>
  <si>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</si>
  <si>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</si>
  <si>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</si>
  <si>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</si>
  <si>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</si>
  <si>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</si>
  <si>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</si>
  <si>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</si>
  <si>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</si>
  <si>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</si>
  <si>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</si>
  <si>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</si>
  <si>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</si>
  <si>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</si>
  <si>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</si>
  <si>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</si>
  <si>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</si>
  <si>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</si>
  <si>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</si>
  <si>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</si>
  <si>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</si>
  <si>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</si>
  <si>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</si>
  <si>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</si>
  <si>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</si>
  <si>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</si>
  <si>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</si>
  <si>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</si>
  <si>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</si>
  <si>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</si>
  <si>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</si>
  <si>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</si>
  <si>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</si>
  <si>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</si>
  <si>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</si>
  <si>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</si>
  <si>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</si>
  <si>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</si>
  <si>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</si>
  <si>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</si>
  <si>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</si>
  <si>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</si>
  <si>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</si>
  <si>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</si>
  <si>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</si>
  <si>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</si>
  <si>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</si>
  <si>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</si>
  <si>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</si>
  <si>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</si>
  <si>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</si>
  <si>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</si>
  <si>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</si>
  <si>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</si>
  <si>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</si>
  <si>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</si>
  <si>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</si>
  <si>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</si>
  <si>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</si>
  <si>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</si>
  <si>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</si>
  <si>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</si>
  <si>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</si>
  <si>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</si>
  <si>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</si>
  <si>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</si>
  <si>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</si>
  <si>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</si>
  <si>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</si>
  <si>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</si>
  <si>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</si>
  <si>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</si>
  <si>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</si>
  <si>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</si>
  <si>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</si>
  <si>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</si>
  <si>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</si>
  <si>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</si>
  <si>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</si>
  <si>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</si>
  <si>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</si>
  <si>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</si>
  <si>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</si>
  <si>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</si>
  <si>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</si>
  <si>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</si>
  <si>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</si>
  <si>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</si>
  <si>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</si>
  <si>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</si>
  <si>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</si>
  <si>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</si>
  <si>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</si>
  <si>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</si>
  <si>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</si>
  <si>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</si>
  <si>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</si>
  <si>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</si>
  <si>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</si>
  <si>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</si>
  <si>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</si>
  <si>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</si>
  <si>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</si>
  <si>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</si>
  <si>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</si>
  <si>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</si>
  <si>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</si>
  <si>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</si>
  <si>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</si>
  <si>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</si>
  <si>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</si>
  <si>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</si>
  <si>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</si>
  <si>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</si>
  <si>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</si>
  <si>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</si>
  <si>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</si>
  <si>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</si>
  <si>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</si>
  <si>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</si>
  <si>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</si>
  <si>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</si>
  <si>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</si>
  <si>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</si>
  <si>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</si>
  <si>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</si>
  <si>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</si>
  <si>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</si>
  <si>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</si>
  <si>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</si>
  <si>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</si>
  <si>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</si>
  <si>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</si>
  <si>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</si>
  <si>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</si>
  <si>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</si>
  <si>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</si>
  <si>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</si>
  <si>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</si>
  <si>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</si>
  <si>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</si>
  <si>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</si>
  <si>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</si>
  <si>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</si>
  <si>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</si>
  <si>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</si>
  <si>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</si>
  <si>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</si>
  <si>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</si>
  <si>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</si>
  <si>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</si>
  <si>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</si>
  <si>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</si>
  <si>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</si>
  <si>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</si>
  <si>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</si>
  <si>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</si>
  <si>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</si>
  <si>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</si>
  <si>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</si>
  <si>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</si>
  <si>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</si>
  <si>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</si>
  <si>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</si>
  <si>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</si>
  <si>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</si>
  <si>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</si>
  <si>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</si>
  <si>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</si>
  <si>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</si>
  <si>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</si>
  <si>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</si>
  <si>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</si>
  <si>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</si>
  <si>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</si>
  <si>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</si>
  <si>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</si>
  <si>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</si>
  <si>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</si>
  <si>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</si>
  <si>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</si>
  <si>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</si>
  <si>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</si>
  <si>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</si>
  <si>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</si>
  <si>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</si>
  <si>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</si>
  <si>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</si>
  <si>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</si>
  <si>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</si>
  <si>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</si>
  <si>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</si>
  <si>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</si>
  <si>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</si>
  <si>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</si>
  <si>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</si>
  <si>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</si>
  <si>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</si>
  <si>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</si>
  <si>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</si>
  <si>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</si>
  <si>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</si>
  <si>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</si>
  <si>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</si>
  <si>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</si>
  <si>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</si>
  <si>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</si>
  <si>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</si>
  <si>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</si>
  <si>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</si>
  <si>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</si>
  <si>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</si>
  <si>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</si>
  <si>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</si>
  <si>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</si>
  <si>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</si>
  <si>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</si>
  <si>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</si>
  <si>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</si>
  <si>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</si>
  <si>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</si>
  <si>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</si>
  <si>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</si>
  <si>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</si>
  <si>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</si>
  <si>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</si>
  <si>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</si>
  <si>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</si>
  <si>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</si>
  <si>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</si>
  <si>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</si>
  <si>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</si>
  <si>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</si>
  <si>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</si>
  <si>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</si>
  <si>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</si>
  <si>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</si>
  <si>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</si>
  <si>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</si>
  <si>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</si>
  <si>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</si>
  <si>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</si>
  <si>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</si>
  <si>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</si>
  <si>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</si>
  <si>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</si>
  <si>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</si>
  <si>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</si>
  <si>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</si>
  <si>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</si>
  <si>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</si>
  <si>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</si>
  <si>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</si>
  <si>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</si>
  <si>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</si>
  <si>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</si>
  <si>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</si>
  <si>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</si>
  <si>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</si>
  <si>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</si>
  <si>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</si>
  <si>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</si>
  <si>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</si>
  <si>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</si>
  <si>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</si>
  <si>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</si>
  <si>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</si>
  <si>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</si>
  <si>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</si>
  <si>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</si>
  <si>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</si>
  <si>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</si>
  <si>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</si>
  <si>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</si>
  <si>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</si>
  <si>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</si>
  <si>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</si>
  <si>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</si>
  <si>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</si>
  <si>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</si>
  <si>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</si>
  <si>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</si>
  <si>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</si>
  <si>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</si>
  <si>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</si>
  <si>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</si>
  <si>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</si>
  <si>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</si>
  <si>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</si>
  <si>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</si>
  <si>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</si>
  <si>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</si>
  <si>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</si>
  <si>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</si>
  <si>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</si>
  <si>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</si>
  <si>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</si>
  <si>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</si>
  <si>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</si>
  <si>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</si>
  <si>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</si>
  <si>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</si>
  <si>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</si>
  <si>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</si>
  <si>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</si>
  <si>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</si>
  <si>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</si>
  <si>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</si>
  <si>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</si>
  <si>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</si>
  <si>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</si>
  <si>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</si>
  <si>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</si>
  <si>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</si>
  <si>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</si>
  <si>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</si>
  <si>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</si>
  <si>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</si>
  <si>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</si>
  <si>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</si>
  <si>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</si>
  <si>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</si>
  <si>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</si>
  <si>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</si>
  <si>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</si>
  <si>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</si>
  <si>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</si>
  <si>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</si>
  <si>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</si>
  <si>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</si>
  <si>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</si>
  <si>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</si>
  <si>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</si>
  <si>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</si>
  <si>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</si>
  <si>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</si>
  <si>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</si>
  <si>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</si>
  <si>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</si>
  <si>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</si>
  <si>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</si>
  <si>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</si>
  <si>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</si>
  <si>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</si>
  <si>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</si>
  <si>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</si>
  <si>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</si>
  <si>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</si>
  <si>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</si>
  <si>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</si>
  <si>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</si>
  <si>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</si>
  <si>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</si>
  <si>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</si>
  <si>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</si>
  <si>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</si>
  <si>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</si>
  <si>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</si>
  <si>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</si>
  <si>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</si>
  <si>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</si>
  <si>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</si>
  <si>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</si>
  <si>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</si>
  <si>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</si>
  <si>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</si>
  <si>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</si>
  <si>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</si>
  <si>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</si>
  <si>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</si>
  <si>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</si>
  <si>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</si>
  <si>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</si>
  <si>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</si>
  <si>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</si>
  <si>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</si>
  <si>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</si>
  <si>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</si>
  <si>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</si>
  <si>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</si>
  <si>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</si>
  <si>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</si>
  <si>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</si>
  <si>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</si>
  <si>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</si>
  <si>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</si>
  <si>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</si>
  <si>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</si>
  <si>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</si>
  <si>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</si>
  <si>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</si>
  <si>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</si>
  <si>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</si>
  <si>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</si>
  <si>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</si>
  <si>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</si>
  <si>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</si>
  <si>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</si>
  <si>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</si>
  <si>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</si>
  <si>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</si>
  <si>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</si>
  <si>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</si>
  <si>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</si>
  <si>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</si>
  <si>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</si>
  <si>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</si>
  <si>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</si>
  <si>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</si>
  <si>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</si>
  <si>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</si>
  <si>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</si>
  <si>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</si>
  <si>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</si>
  <si>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</si>
  <si>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</si>
  <si>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</si>
  <si>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</si>
  <si>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</si>
  <si>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</si>
  <si>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</si>
  <si>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</si>
  <si>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</si>
  <si>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</si>
  <si>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</si>
  <si>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</si>
  <si>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</si>
  <si>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</si>
  <si>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</si>
  <si>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</si>
  <si>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</si>
  <si>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</si>
  <si>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</si>
  <si>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</si>
  <si>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</si>
  <si>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</si>
  <si>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</si>
  <si>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</si>
  <si>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</si>
  <si>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</si>
  <si>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</si>
  <si>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</si>
  <si>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</si>
  <si>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</si>
  <si>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</si>
  <si>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</si>
  <si>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</si>
  <si>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</si>
  <si>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</si>
  <si>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</si>
  <si>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</si>
  <si>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</si>
  <si>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</si>
  <si>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</si>
  <si>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</si>
  <si>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</si>
  <si>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</si>
  <si>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</si>
  <si>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</si>
  <si>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</si>
  <si>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</si>
  <si>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</si>
  <si>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</si>
  <si>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</si>
  <si>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</si>
  <si>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</si>
  <si>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</si>
  <si>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</si>
  <si>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</si>
  <si>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</si>
  <si>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</si>
  <si>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</si>
  <si>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</si>
  <si>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</si>
  <si>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</si>
  <si>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</si>
  <si>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</si>
  <si>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</si>
  <si>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</si>
  <si>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</si>
  <si>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</si>
  <si>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</si>
  <si>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</si>
  <si>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</si>
  <si>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</si>
  <si>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</si>
  <si>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</si>
  <si>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</si>
  <si>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</si>
  <si>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</si>
  <si>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</si>
  <si>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</si>
  <si>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</si>
  <si>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</si>
  <si>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</si>
  <si>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</si>
  <si>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</si>
  <si>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</si>
  <si>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</si>
  <si>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</si>
  <si>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</si>
  <si>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</si>
  <si>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</si>
  <si>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</si>
  <si>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</si>
  <si>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</si>
  <si>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</si>
  <si>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</si>
  <si>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</si>
  <si>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</si>
  <si>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</si>
  <si>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</si>
  <si>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</si>
  <si>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</si>
  <si>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</si>
  <si>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</si>
  <si>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</si>
  <si>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</si>
  <si>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</si>
  <si>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</si>
  <si>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</si>
  <si>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</si>
  <si>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</si>
  <si>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</si>
  <si>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</si>
  <si>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</si>
  <si>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</si>
  <si>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</si>
  <si>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</si>
  <si>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</si>
  <si>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</si>
  <si>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</si>
  <si>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</si>
  <si>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</si>
  <si>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</si>
  <si>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</si>
  <si>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</si>
  <si>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</si>
  <si>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</si>
  <si>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</si>
  <si>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</si>
  <si>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</si>
  <si>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</si>
  <si>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</si>
  <si>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</si>
  <si>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</si>
  <si>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</si>
  <si>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</si>
  <si>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</si>
  <si>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</si>
  <si>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</si>
  <si>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</si>
  <si>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</si>
  <si>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</si>
  <si>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</si>
  <si>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</si>
  <si>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</si>
  <si>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</si>
  <si>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</si>
  <si>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</si>
  <si>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</si>
  <si>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</si>
  <si>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</si>
  <si>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</si>
  <si>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</si>
  <si>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</si>
  <si>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</si>
  <si>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</si>
  <si>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</si>
  <si>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</si>
  <si>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</si>
  <si>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</si>
  <si>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</si>
  <si>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</si>
  <si>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</si>
  <si>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</si>
  <si>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</si>
  <si>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</si>
  <si>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</si>
  <si>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</si>
  <si>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</si>
  <si>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</si>
  <si>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</si>
  <si>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</si>
  <si>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</si>
  <si>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</si>
  <si>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</si>
  <si>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</si>
  <si>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</si>
  <si>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</si>
  <si>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</si>
  <si>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</si>
  <si>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</si>
  <si>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</si>
  <si>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</si>
  <si>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</si>
  <si>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</si>
  <si>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</si>
  <si>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</si>
  <si>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</si>
  <si>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</si>
  <si>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</si>
  <si>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</si>
  <si>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</si>
  <si>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</si>
  <si>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</si>
  <si>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</si>
  <si>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</si>
  <si>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</si>
  <si>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</si>
  <si>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</si>
  <si>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</si>
  <si>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</si>
  <si>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</si>
  <si>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</si>
  <si>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</si>
  <si>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</si>
  <si>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</si>
  <si>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</si>
  <si>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</si>
  <si>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</si>
  <si>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</si>
  <si>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</si>
  <si>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</si>
  <si>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</si>
  <si>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</si>
  <si>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</si>
  <si>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</si>
  <si>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</si>
  <si>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</si>
  <si>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</si>
  <si>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</si>
  <si>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</si>
  <si>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</si>
  <si>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</si>
  <si>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</si>
  <si>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</si>
  <si>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</si>
  <si>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</si>
  <si>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</si>
  <si>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</si>
  <si>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</si>
  <si>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</si>
  <si>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</si>
  <si>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</si>
  <si>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</si>
  <si>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</si>
  <si>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</si>
  <si>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</si>
  <si>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</si>
  <si>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</si>
  <si>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</si>
  <si>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</si>
  <si>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</si>
  <si>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</si>
  <si>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</si>
  <si>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</si>
  <si>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</si>
  <si>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</si>
  <si>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</si>
  <si>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</si>
  <si>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</si>
  <si>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</si>
  <si>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</si>
  <si>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</si>
  <si>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</si>
  <si>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</si>
  <si>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</si>
  <si>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</si>
  <si>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</si>
  <si>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</si>
  <si>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</si>
  <si>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</si>
  <si>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</si>
  <si>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</si>
  <si>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</si>
  <si>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</si>
  <si>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</si>
  <si>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</si>
  <si>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</si>
  <si>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</si>
  <si>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</si>
  <si>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</si>
  <si>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</si>
  <si>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</si>
  <si>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</si>
  <si>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</si>
  <si>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</si>
  <si>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</si>
  <si>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</si>
  <si>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</si>
  <si>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</si>
  <si>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</si>
  <si>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</si>
  <si>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</si>
  <si>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</si>
  <si>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</si>
  <si>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</si>
  <si>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</si>
  <si>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</si>
  <si>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</si>
  <si>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</si>
  <si>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</si>
  <si>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</si>
  <si>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</si>
  <si>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</si>
  <si>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</si>
  <si>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</si>
  <si>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</si>
  <si>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</si>
  <si>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</si>
  <si>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</si>
  <si>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</si>
  <si>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</si>
  <si>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</si>
  <si>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</si>
  <si>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</si>
  <si>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</si>
  <si>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</si>
  <si>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</si>
  <si>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</si>
  <si>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</si>
  <si>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</si>
  <si>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</si>
  <si>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</si>
  <si>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</si>
  <si>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</si>
  <si>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</si>
  <si>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</si>
  <si>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</si>
  <si>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</si>
  <si>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</si>
  <si>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</si>
  <si>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</si>
  <si>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</si>
  <si>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</si>
  <si>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</si>
  <si>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</si>
  <si>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</si>
  <si>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</si>
  <si>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</si>
  <si>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</si>
  <si>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</si>
  <si>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</si>
  <si>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</si>
  <si>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</si>
  <si>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</si>
  <si>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</si>
  <si>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</si>
  <si>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</si>
  <si>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</si>
  <si>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</si>
  <si>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</si>
  <si>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</si>
  <si>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</si>
  <si>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</si>
  <si>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</si>
  <si>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</si>
  <si>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</si>
  <si>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</si>
  <si>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</si>
  <si>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</si>
  <si>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</si>
  <si>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</si>
  <si>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</si>
  <si>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</si>
  <si>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</si>
  <si>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</si>
  <si>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</si>
  <si>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</si>
  <si>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</si>
  <si>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</si>
  <si>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</si>
  <si>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</si>
  <si>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</si>
  <si>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</si>
  <si>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</si>
  <si>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</si>
  <si>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</si>
  <si>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</si>
  <si>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</si>
  <si>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</si>
  <si>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</si>
  <si>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</si>
  <si>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</si>
  <si>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</si>
  <si>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</si>
  <si>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</si>
  <si>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</si>
  <si>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</si>
  <si>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</si>
  <si>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</si>
  <si>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</si>
  <si>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</si>
  <si>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</si>
  <si>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</si>
  <si>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</si>
  <si>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</si>
  <si>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</si>
  <si>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</si>
  <si>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</si>
  <si>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</si>
  <si>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</si>
  <si>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</si>
  <si>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</si>
  <si>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</si>
  <si>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</si>
  <si>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</si>
  <si>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</si>
  <si>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</si>
  <si>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</si>
  <si>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</si>
  <si>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</si>
  <si>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</si>
  <si>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</si>
  <si>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</si>
  <si>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</si>
  <si>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</si>
  <si>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</si>
  <si>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</si>
  <si>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</si>
  <si>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</si>
  <si>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</si>
  <si>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</si>
  <si>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</si>
  <si>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</si>
  <si>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</si>
  <si>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</si>
  <si>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</si>
  <si>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</si>
  <si>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</si>
  <si>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</si>
  <si>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</si>
  <si>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</si>
  <si>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</si>
  <si>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</si>
  <si>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</si>
  <si>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</si>
  <si>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</si>
  <si>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</si>
  <si>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</si>
  <si>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</si>
  <si>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</si>
  <si>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</si>
  <si>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</si>
  <si>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</si>
  <si>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</si>
  <si>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</si>
  <si>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</si>
  <si>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</si>
  <si>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</si>
  <si>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</si>
  <si>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</si>
  <si>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</si>
  <si>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</si>
  <si>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</si>
  <si>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</si>
  <si>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</si>
  <si>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</si>
  <si>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</si>
  <si>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</si>
  <si>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</si>
  <si>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</si>
  <si>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</si>
  <si>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</si>
  <si>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</si>
  <si>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</si>
  <si>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</si>
  <si>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</si>
  <si>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</si>
  <si>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</si>
  <si>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</si>
  <si>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</si>
  <si>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</si>
  <si>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</si>
  <si>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</si>
  <si>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</si>
  <si>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</si>
  <si>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</si>
  <si>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</si>
  <si>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</si>
  <si>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</si>
  <si>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</si>
  <si>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</si>
  <si>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</si>
  <si>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</si>
  <si>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</si>
  <si>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</si>
  <si>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</si>
  <si>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</si>
  <si>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</si>
  <si>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</si>
  <si>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</si>
  <si>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</si>
  <si>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</si>
  <si>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</si>
  <si>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</si>
  <si>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</si>
  <si>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</si>
  <si>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</si>
  <si>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</si>
  <si>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</si>
  <si>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</si>
  <si>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</si>
  <si>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</si>
  <si>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</si>
  <si>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</si>
  <si>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</si>
  <si>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</si>
  <si>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</si>
  <si>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</si>
  <si>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</si>
  <si>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</si>
  <si>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</si>
  <si>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</si>
  <si>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</si>
  <si>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</si>
  <si>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</si>
  <si>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</si>
  <si>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</si>
  <si>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</si>
  <si>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</si>
  <si>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</si>
  <si>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</si>
  <si>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</si>
  <si>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</si>
  <si>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</si>
  <si>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</si>
  <si>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</si>
  <si>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</si>
  <si>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</si>
  <si>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</si>
  <si>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</si>
  <si>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</si>
  <si>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</si>
  <si>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</si>
  <si>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</si>
  <si>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</si>
  <si>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</si>
  <si>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</si>
  <si>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</si>
  <si>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</si>
  <si>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</si>
  <si>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</si>
  <si>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</si>
  <si>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</si>
  <si>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</si>
  <si>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</si>
  <si>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</si>
  <si>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</si>
  <si>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</si>
  <si>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</si>
  <si>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</si>
  <si>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</si>
  <si>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</si>
  <si>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</si>
  <si>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</si>
  <si>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</si>
  <si>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</si>
  <si>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</si>
  <si>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</si>
  <si>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</si>
  <si>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</si>
  <si>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</si>
  <si>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</si>
  <si>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</si>
  <si>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</si>
  <si>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</si>
  <si>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</si>
  <si>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</si>
  <si>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</si>
  <si>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</si>
  <si>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</si>
  <si>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</si>
  <si>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</si>
  <si>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</si>
  <si>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</si>
  <si>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</si>
  <si>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</si>
  <si>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</si>
  <si>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</si>
  <si>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</si>
  <si>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</si>
  <si>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</si>
  <si>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</si>
  <si>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</si>
  <si>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</si>
  <si>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</si>
  <si>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</si>
  <si>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</si>
  <si>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</si>
  <si>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</si>
  <si>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</si>
  <si>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</si>
  <si>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</si>
  <si>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</si>
  <si>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</si>
  <si>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</si>
  <si>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</si>
  <si>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</si>
  <si>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</si>
  <si>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</si>
  <si>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</si>
  <si>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</si>
  <si>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</si>
  <si>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</si>
  <si>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</si>
  <si>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</si>
  <si>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</si>
  <si>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</si>
  <si>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</si>
  <si>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</si>
  <si>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</si>
  <si>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</si>
  <si>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</si>
  <si>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</si>
  <si>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</si>
  <si>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</si>
  <si>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</si>
  <si>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</si>
  <si>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</si>
  <si>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</si>
  <si>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</si>
  <si>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</si>
  <si>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</si>
  <si>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</si>
  <si>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</si>
  <si>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</si>
  <si>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</si>
  <si>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</si>
  <si>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</si>
  <si>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</si>
  <si>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</si>
  <si>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</si>
  <si>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</si>
  <si>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</si>
  <si>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</si>
  <si>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</si>
  <si>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</si>
  <si>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</si>
  <si>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</si>
  <si>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</si>
  <si>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</si>
  <si>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</si>
  <si>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</si>
  <si>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</si>
  <si>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</si>
  <si>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</si>
  <si>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</si>
  <si>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</si>
  <si>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</si>
  <si>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</si>
  <si>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</si>
  <si>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</si>
  <si>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</si>
  <si>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</si>
  <si>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</si>
  <si>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</si>
  <si>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</si>
  <si>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</si>
  <si>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</si>
  <si>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</si>
  <si>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</si>
  <si>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</si>
  <si>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</si>
  <si>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</si>
  <si>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</si>
  <si>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</si>
  <si>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</si>
  <si>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</si>
  <si>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</si>
  <si>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</si>
  <si>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</si>
  <si>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</si>
  <si>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</si>
  <si>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</si>
  <si>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</si>
  <si>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</si>
  <si>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</si>
  <si>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</si>
  <si>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</si>
  <si>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</si>
  <si>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</si>
  <si>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</si>
  <si>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</si>
  <si>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</si>
  <si>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</si>
  <si>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</si>
  <si>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</si>
  <si>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</si>
  <si>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</si>
  <si>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</si>
  <si>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</si>
  <si>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</si>
  <si>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</si>
  <si>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</si>
  <si>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</si>
  <si>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</si>
  <si>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</si>
  <si>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</si>
  <si>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</si>
  <si>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</si>
  <si>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</si>
  <si>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</si>
  <si>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</si>
  <si>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</si>
  <si>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</si>
  <si>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</si>
  <si>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</si>
  <si>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</si>
  <si>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</si>
  <si>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</si>
  <si>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</si>
  <si>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</si>
  <si>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</si>
  <si>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</si>
  <si>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</si>
  <si>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</si>
  <si>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</si>
  <si>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</si>
  <si>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</si>
  <si>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</si>
  <si>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</si>
  <si>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</si>
  <si>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</si>
  <si>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</si>
  <si>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</si>
  <si>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</si>
  <si>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</si>
  <si>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</si>
  <si>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</si>
  <si>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</si>
  <si>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</si>
  <si>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</si>
  <si>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</si>
  <si>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</si>
  <si>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</si>
  <si>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</si>
  <si>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</si>
  <si>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</si>
  <si>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</si>
  <si>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</si>
  <si>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</si>
  <si>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</si>
  <si>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</si>
  <si>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</si>
  <si>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</si>
  <si>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</si>
  <si>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</si>
  <si>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</si>
  <si>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</si>
  <si>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</si>
  <si>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</si>
  <si>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</si>
  <si>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</si>
  <si>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</si>
  <si>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</si>
  <si>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</si>
  <si>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</si>
  <si>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</si>
  <si>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</si>
  <si>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</si>
  <si>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</si>
  <si>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</si>
  <si>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</si>
  <si>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</si>
  <si>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</si>
  <si>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</si>
  <si>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</si>
  <si>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</si>
  <si>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</si>
  <si>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</si>
  <si>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</si>
  <si>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</si>
  <si>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</si>
  <si>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</si>
  <si>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</si>
  <si>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</si>
  <si>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</si>
  <si>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</si>
  <si>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</si>
  <si>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</si>
  <si>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</si>
  <si>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</si>
  <si>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</si>
  <si>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</si>
  <si>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</si>
  <si>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</si>
  <si>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</si>
  <si>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</si>
  <si>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</si>
  <si>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</si>
  <si>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</si>
  <si>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</si>
  <si>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</si>
  <si>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</si>
  <si>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</si>
  <si>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</si>
  <si>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</si>
  <si>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</si>
  <si>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</si>
  <si>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</si>
  <si>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</si>
  <si>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</si>
  <si>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</si>
  <si>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</si>
  <si>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</si>
  <si>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</si>
  <si>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</si>
  <si>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</si>
  <si>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</si>
  <si>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</si>
  <si>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</si>
  <si>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</si>
  <si>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</si>
  <si>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</si>
  <si>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</si>
  <si>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</si>
  <si>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</si>
  <si>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</si>
  <si>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</si>
  <si>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</si>
  <si>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</si>
  <si>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</si>
  <si>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</si>
  <si>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</si>
  <si>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</si>
  <si>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</si>
  <si>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</si>
  <si>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</si>
  <si>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</si>
  <si>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</si>
  <si>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</si>
  <si>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</si>
  <si>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</si>
  <si>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</si>
  <si>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</si>
  <si>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</si>
  <si>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</si>
  <si>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</si>
  <si>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</si>
  <si>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</si>
  <si>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</si>
  <si>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</si>
  <si>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</si>
  <si>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</si>
  <si>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</si>
  <si>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</si>
  <si>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</si>
  <si>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</si>
  <si>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</si>
  <si>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</si>
  <si>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</si>
  <si>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</si>
  <si>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</si>
  <si>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</si>
  <si>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</si>
  <si>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</si>
  <si>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</si>
  <si>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</si>
  <si>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</si>
  <si>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</si>
  <si>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</si>
  <si>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</si>
  <si>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</si>
  <si>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</si>
  <si>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</si>
  <si>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</si>
  <si>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</si>
  <si>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</si>
  <si>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</si>
  <si>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</si>
  <si>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</si>
  <si>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</si>
  <si>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</si>
  <si>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</si>
  <si>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</si>
  <si>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</si>
  <si>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</si>
  <si>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</si>
  <si>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</si>
  <si>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</si>
  <si>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</si>
  <si>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</si>
  <si>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</si>
  <si>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</si>
  <si>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</si>
  <si>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</si>
  <si>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</si>
  <si>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</si>
  <si>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</si>
  <si>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</si>
  <si>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</si>
  <si>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</si>
  <si>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</si>
  <si>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</si>
  <si>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</si>
  <si>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</si>
  <si>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</si>
  <si>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</si>
  <si>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</si>
  <si>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</si>
  <si>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</si>
  <si>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</si>
  <si>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</si>
  <si>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</si>
  <si>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</si>
  <si>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</si>
  <si>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</si>
  <si>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</si>
  <si>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</si>
  <si>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</si>
  <si>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</si>
  <si>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</si>
  <si>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</si>
  <si>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</si>
  <si>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</si>
  <si>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</si>
  <si>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</si>
  <si>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</si>
  <si>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</si>
  <si>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</si>
  <si>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</si>
  <si>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</si>
  <si>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</si>
  <si>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</si>
  <si>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</si>
  <si>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</si>
  <si>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</si>
  <si>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</si>
  <si>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</si>
  <si>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</si>
  <si>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</si>
  <si>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</si>
  <si>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</si>
  <si>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</si>
  <si>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</si>
  <si>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</si>
  <si>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</si>
  <si>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</si>
  <si>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</si>
  <si>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</si>
  <si>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</si>
  <si>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</si>
  <si>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</si>
  <si>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</si>
  <si>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</si>
  <si>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</si>
  <si>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</si>
  <si>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</si>
  <si>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</si>
  <si>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</si>
  <si>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</si>
  <si>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</si>
  <si>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</si>
  <si>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</si>
  <si>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</si>
  <si>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</si>
  <si>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</si>
  <si>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</si>
  <si>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</si>
  <si>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</si>
  <si>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</si>
  <si>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</si>
  <si>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</si>
  <si>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</si>
  <si>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</si>
  <si>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</si>
  <si>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</si>
  <si>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</si>
  <si>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</si>
  <si>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</si>
  <si>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</si>
  <si>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</si>
  <si>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</si>
  <si>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</si>
  <si>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</si>
  <si>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</si>
  <si>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</si>
  <si>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</si>
  <si>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</si>
  <si>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</si>
  <si>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</si>
  <si>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</si>
  <si>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</si>
  <si>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</si>
  <si>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</si>
  <si>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</si>
  <si>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</si>
  <si>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</si>
  <si>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</si>
  <si>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</si>
  <si>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</si>
  <si>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</si>
  <si>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</si>
  <si>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</si>
  <si>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</si>
  <si>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</si>
  <si>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</si>
  <si>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</si>
  <si>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</si>
  <si>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</si>
  <si>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</si>
  <si>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</si>
  <si>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</si>
  <si>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</si>
  <si>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</si>
  <si>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</si>
  <si>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</si>
  <si>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</si>
  <si>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</si>
  <si>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</si>
  <si>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</si>
  <si>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</si>
  <si>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</si>
  <si>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</si>
  <si>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</si>
  <si>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</si>
  <si>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</si>
  <si>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</si>
  <si>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</si>
  <si>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</si>
  <si>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</si>
  <si>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</si>
  <si>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</si>
  <si>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</si>
  <si>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</si>
  <si>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</si>
  <si>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</si>
  <si>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</si>
  <si>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</si>
  <si>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</si>
  <si>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</si>
  <si>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</si>
  <si>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</si>
  <si>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</si>
  <si>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</si>
  <si>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</si>
  <si>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</si>
  <si>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</si>
  <si>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</si>
  <si>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</si>
  <si>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</si>
  <si>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</si>
  <si>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</si>
  <si>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</si>
  <si>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</si>
  <si>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</si>
  <si>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</si>
  <si>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</si>
  <si>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</si>
  <si>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</si>
  <si>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</si>
  <si>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</si>
  <si>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</si>
  <si>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</si>
  <si>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</si>
  <si>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</si>
  <si>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</si>
  <si>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</si>
  <si>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</si>
  <si>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</si>
  <si>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</si>
  <si>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</si>
  <si>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</si>
  <si>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</si>
  <si>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</si>
  <si>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</si>
  <si>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</si>
  <si>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</si>
  <si>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</si>
  <si>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</si>
  <si>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</si>
  <si>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</si>
  <si>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</si>
  <si>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</si>
  <si>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</si>
  <si>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</si>
  <si>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</si>
  <si>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</si>
  <si>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</si>
  <si>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</si>
  <si>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</si>
  <si>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</si>
  <si>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</si>
  <si>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</si>
  <si>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</si>
  <si>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</si>
  <si>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</si>
  <si>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</si>
  <si>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</si>
  <si>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</si>
  <si>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</si>
  <si>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</si>
  <si>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</si>
  <si>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</si>
  <si>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</si>
  <si>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</si>
  <si>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</si>
  <si>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</si>
  <si>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</si>
  <si>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</si>
  <si>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</si>
  <si>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</si>
  <si>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</si>
  <si>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</si>
  <si>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</si>
  <si>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</si>
  <si>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</si>
  <si>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</si>
  <si>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</si>
  <si>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</si>
  <si>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</si>
  <si>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</si>
  <si>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</si>
  <si>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</si>
  <si>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</si>
  <si>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</si>
  <si>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</si>
  <si>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</si>
  <si>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</si>
  <si>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</si>
  <si>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</si>
  <si>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</si>
  <si>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</si>
  <si>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</si>
  <si>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</si>
  <si>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</si>
  <si>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</si>
  <si>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</si>
  <si>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</si>
  <si>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</si>
  <si>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</si>
  <si>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</si>
  <si>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</si>
  <si>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</si>
  <si>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</si>
  <si>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</si>
  <si>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</si>
  <si>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</si>
  <si>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</si>
  <si>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</si>
  <si>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</si>
  <si>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</si>
  <si>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</si>
  <si>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</si>
  <si>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</si>
  <si>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</si>
  <si>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</si>
  <si>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</si>
  <si>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</si>
  <si>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</si>
  <si>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</si>
  <si>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</si>
  <si>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</si>
  <si>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</si>
  <si>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</si>
  <si>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</si>
  <si>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</si>
  <si>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</si>
  <si>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</si>
  <si>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</si>
  <si>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</si>
  <si>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</si>
  <si>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</si>
  <si>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</si>
  <si>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</si>
  <si>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</si>
  <si>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</si>
  <si>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</si>
  <si>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</si>
  <si>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</si>
  <si>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</si>
  <si>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</si>
  <si>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</si>
  <si>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</si>
  <si>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</si>
  <si>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</si>
  <si>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</si>
  <si>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</si>
  <si>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</si>
  <si>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</si>
  <si>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</si>
  <si>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</si>
  <si>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</si>
  <si>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</si>
  <si>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</si>
  <si>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</si>
  <si>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</si>
  <si>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</si>
  <si>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</si>
  <si>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</si>
  <si>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</si>
  <si>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</si>
  <si>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</si>
  <si>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</si>
  <si>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</si>
  <si>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</si>
  <si>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</si>
  <si>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</si>
  <si>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</si>
  <si>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</si>
  <si>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</si>
  <si>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</si>
  <si>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</si>
  <si>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</si>
  <si>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</si>
  <si>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</si>
  <si>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</si>
  <si>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</si>
  <si>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</si>
  <si>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</si>
  <si>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</si>
  <si>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</si>
  <si>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</si>
  <si>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</si>
  <si>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</si>
  <si>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</si>
  <si>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</si>
  <si>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</si>
  <si>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</si>
  <si>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</si>
  <si>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</si>
  <si>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</si>
  <si>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</si>
  <si>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</si>
  <si>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</si>
  <si>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</si>
  <si>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</si>
  <si>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</si>
  <si>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</si>
  <si>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</si>
  <si>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</si>
  <si>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</si>
  <si>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</si>
  <si>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</si>
  <si>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</si>
  <si>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</si>
  <si>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</si>
  <si>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</si>
  <si>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</si>
  <si>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</si>
  <si>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</si>
  <si>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</si>
  <si>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</si>
  <si>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</si>
  <si>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</si>
  <si>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</si>
  <si>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</si>
  <si>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</si>
  <si>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</si>
  <si>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</si>
  <si>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</si>
  <si>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</si>
  <si>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</si>
  <si>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</si>
  <si>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</si>
  <si>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</si>
  <si>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</si>
  <si>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</si>
  <si>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</si>
  <si>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</si>
  <si>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</si>
  <si>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</si>
  <si>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</si>
  <si>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</si>
  <si>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</si>
  <si>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</si>
  <si>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</si>
  <si>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</si>
  <si>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</si>
  <si>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</si>
  <si>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</si>
  <si>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</si>
  <si>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</si>
  <si>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</si>
  <si>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</si>
  <si>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</si>
  <si>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</si>
  <si>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</si>
  <si>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</si>
  <si>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</si>
  <si>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</si>
  <si>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</si>
  <si>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</si>
  <si>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</si>
  <si>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</si>
  <si>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</si>
  <si>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</si>
  <si>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</si>
  <si>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</si>
  <si>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</si>
  <si>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</si>
  <si>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</si>
  <si>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</si>
  <si>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</si>
  <si>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</si>
  <si>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</si>
  <si>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</si>
  <si>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</si>
  <si>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</si>
  <si>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</si>
  <si>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</si>
  <si>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</si>
  <si>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</si>
  <si>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</si>
  <si>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</si>
  <si>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</si>
  <si>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</si>
  <si>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</si>
  <si>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</si>
  <si>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</si>
  <si>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</si>
  <si>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</si>
  <si>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</si>
  <si>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</si>
  <si>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</si>
  <si>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</si>
  <si>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</si>
  <si>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</si>
  <si>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</si>
  <si>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</si>
  <si>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</si>
  <si>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</si>
  <si>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</si>
  <si>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</si>
  <si>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</si>
  <si>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</si>
  <si>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</si>
  <si>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</si>
  <si>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</si>
  <si>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</si>
  <si>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</si>
  <si>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</si>
  <si>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</si>
  <si>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</si>
  <si>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</si>
  <si>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</si>
  <si>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</si>
  <si>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</si>
  <si>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</si>
  <si>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</si>
  <si>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</si>
  <si>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</si>
  <si>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</si>
  <si>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</si>
  <si>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</si>
  <si>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</si>
  <si>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</si>
  <si>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</si>
  <si>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</si>
  <si>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</si>
  <si>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</si>
  <si>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</si>
  <si>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</si>
  <si>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</si>
  <si>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</si>
  <si>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</si>
  <si>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</si>
  <si>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</si>
  <si>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</si>
  <si>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</si>
  <si>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</si>
  <si>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</si>
  <si>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</si>
  <si>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</si>
  <si>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</si>
  <si>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</si>
  <si>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</si>
  <si>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</si>
  <si>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</si>
  <si>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</si>
  <si>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</si>
  <si>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</si>
  <si>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</si>
  <si>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</si>
  <si>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</si>
  <si>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</si>
  <si>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</si>
  <si>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</si>
  <si>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</si>
  <si>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</si>
  <si>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</si>
  <si>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</si>
  <si>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</si>
  <si>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</si>
  <si>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</si>
  <si>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</si>
  <si>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</si>
  <si>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</si>
  <si>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</si>
  <si>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</si>
  <si>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</si>
  <si>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</si>
  <si>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</si>
  <si>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</si>
  <si>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</si>
  <si>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</si>
  <si>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</si>
  <si>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</si>
  <si>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</si>
  <si>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</si>
  <si>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</si>
  <si>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</si>
  <si>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</si>
  <si>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</si>
  <si>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</si>
  <si>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</si>
  <si>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</si>
  <si>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</si>
  <si>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</si>
  <si>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</si>
  <si>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</si>
  <si>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</si>
  <si>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</si>
  <si>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</si>
  <si>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</si>
  <si>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</si>
  <si>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</si>
  <si>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</si>
  <si>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</si>
  <si>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</si>
  <si>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</si>
  <si>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</si>
  <si>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</si>
  <si>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</si>
  <si>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</si>
  <si>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</si>
  <si>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</si>
  <si>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</si>
  <si>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</si>
  <si>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</si>
  <si>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</si>
  <si>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</si>
  <si>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</si>
  <si>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</si>
  <si>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</si>
  <si>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</si>
  <si>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</si>
  <si>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</si>
  <si>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</si>
  <si>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</si>
  <si>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</si>
  <si>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</si>
  <si>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</si>
  <si>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</si>
  <si>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</si>
  <si>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</si>
  <si>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</si>
  <si>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</si>
  <si>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</si>
  <si>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</si>
  <si>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</si>
  <si>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</si>
  <si>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</si>
  <si>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</si>
  <si>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</si>
  <si>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</si>
  <si>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</si>
  <si>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</si>
  <si>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</si>
  <si>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</si>
  <si>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</si>
  <si>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</si>
  <si>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</si>
  <si>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</si>
  <si>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</si>
  <si>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</si>
  <si>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</si>
  <si>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</si>
  <si>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</si>
  <si>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</si>
  <si>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</si>
  <si>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</si>
  <si>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</si>
  <si>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</si>
  <si>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</si>
  <si>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</si>
  <si>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</si>
  <si>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</si>
  <si>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</si>
  <si>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</si>
  <si>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</si>
  <si>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</si>
  <si>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</si>
  <si>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</si>
  <si>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</si>
  <si>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</si>
  <si>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</si>
  <si>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</si>
  <si>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</si>
  <si>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</si>
  <si>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</si>
  <si>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</si>
  <si>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</si>
  <si>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</si>
  <si>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</si>
  <si>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</si>
  <si>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</si>
  <si>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</si>
  <si>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</si>
  <si>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</si>
  <si>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</si>
  <si>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</si>
  <si>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</si>
  <si>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</si>
  <si>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</si>
  <si>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</si>
  <si>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</si>
  <si>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</si>
  <si>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</si>
  <si>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</si>
  <si>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</si>
  <si>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</si>
  <si>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</si>
  <si>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</si>
  <si>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</si>
  <si>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</si>
  <si>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</si>
  <si>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</si>
  <si>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</si>
  <si>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</si>
  <si>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</si>
  <si>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</si>
  <si>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</si>
  <si>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</si>
  <si>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</si>
  <si>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</si>
  <si>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</si>
  <si>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</si>
  <si>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</si>
  <si>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</si>
  <si>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</si>
  <si>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</si>
  <si>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</si>
  <si>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</si>
  <si>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</si>
  <si>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</si>
  <si>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</si>
  <si>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</si>
  <si>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</si>
  <si>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</si>
  <si>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</si>
  <si>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</si>
  <si>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</si>
  <si>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</si>
  <si>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</si>
  <si>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</si>
  <si>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</si>
  <si>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</si>
  <si>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</si>
  <si>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</si>
  <si>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</si>
  <si>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</si>
  <si>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</si>
  <si>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</si>
  <si>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</si>
  <si>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</si>
  <si>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</si>
  <si>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</si>
  <si>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</si>
  <si>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</si>
  <si>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</si>
  <si>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</si>
  <si>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</si>
  <si>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</si>
  <si>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</si>
  <si>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</si>
  <si>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</si>
  <si>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</si>
  <si>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</si>
  <si>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</si>
  <si>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</si>
  <si>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</si>
  <si>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</si>
  <si>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</si>
  <si>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</si>
  <si>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</si>
  <si>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</si>
  <si>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</si>
  <si>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</si>
  <si>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</si>
  <si>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</si>
  <si>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</si>
  <si>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</si>
  <si>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</si>
  <si>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</si>
  <si>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</si>
  <si>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</si>
  <si>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</si>
  <si>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</si>
  <si>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</si>
  <si>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</si>
  <si>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</si>
  <si>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</si>
  <si>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</si>
  <si>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</si>
  <si>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</si>
  <si>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</si>
  <si>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</si>
  <si>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</si>
  <si>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</si>
  <si>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</si>
  <si>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</si>
  <si>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</si>
  <si>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</si>
  <si>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</si>
  <si>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</si>
  <si>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</si>
  <si>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</si>
  <si>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</si>
  <si>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</si>
  <si>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</si>
  <si>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</si>
  <si>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</si>
  <si>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</si>
  <si>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</si>
  <si>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</si>
  <si>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</si>
  <si>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</si>
  <si>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</si>
  <si>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</si>
  <si>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</si>
  <si>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</si>
  <si>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</si>
  <si>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</si>
  <si>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</si>
  <si>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</si>
  <si>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</si>
  <si>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</si>
  <si>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</si>
  <si>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</si>
  <si>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</si>
  <si>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</si>
  <si>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</si>
  <si>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</si>
  <si>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</si>
  <si>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</si>
  <si>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</si>
  <si>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</si>
  <si>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</si>
  <si>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</si>
  <si>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</si>
  <si>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</si>
  <si>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</si>
  <si>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</si>
  <si>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</si>
  <si>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</si>
  <si>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</si>
  <si>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</si>
  <si>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</si>
  <si>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</si>
  <si>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</si>
  <si>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</si>
  <si>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</si>
  <si>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</si>
  <si>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</si>
  <si>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</si>
  <si>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</si>
  <si>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</si>
  <si>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</si>
  <si>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</si>
  <si>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</si>
  <si>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</si>
  <si>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</si>
  <si>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</si>
  <si>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</si>
  <si>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</si>
  <si>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</si>
  <si>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</si>
  <si>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</si>
  <si>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</si>
  <si>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</si>
  <si>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</si>
  <si>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</si>
  <si>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</si>
  <si>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</si>
  <si>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</si>
  <si>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</si>
  <si>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</si>
  <si>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</si>
  <si>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</si>
  <si>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</si>
  <si>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</si>
  <si>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</si>
  <si>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</si>
  <si>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</si>
  <si>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</si>
  <si>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</si>
  <si>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</si>
  <si>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</si>
  <si>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</si>
  <si>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</si>
  <si>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</si>
  <si>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</si>
  <si>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</si>
  <si>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</si>
  <si>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</si>
  <si>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</si>
  <si>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</si>
  <si>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</si>
  <si>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</si>
  <si>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</si>
  <si>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</si>
  <si>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</si>
  <si>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</si>
  <si>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</si>
  <si>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</si>
  <si>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</si>
  <si>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</si>
  <si>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</si>
  <si>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</si>
  <si>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</si>
  <si>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</si>
  <si>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</si>
  <si>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</si>
  <si>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</si>
  <si>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</si>
  <si>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</si>
  <si>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</si>
  <si>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</si>
  <si>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</si>
  <si>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</si>
  <si>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</si>
  <si>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</si>
  <si>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</si>
  <si>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</si>
  <si>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</si>
  <si>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</si>
  <si>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</si>
  <si>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</si>
  <si>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</si>
  <si>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</si>
  <si>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</si>
  <si>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</si>
  <si>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</si>
  <si>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</si>
  <si>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</si>
  <si>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</si>
  <si>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</si>
  <si>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</si>
  <si>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</si>
  <si>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</si>
  <si>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</si>
  <si>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</si>
  <si>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</si>
  <si>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</si>
  <si>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</si>
  <si>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</si>
  <si>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</si>
  <si>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</si>
  <si>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</si>
  <si>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</si>
  <si>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</si>
  <si>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</si>
  <si>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</si>
  <si>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</si>
  <si>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</si>
  <si>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</si>
  <si>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</si>
  <si>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</si>
  <si>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</si>
  <si>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</si>
  <si>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</si>
  <si>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</si>
  <si>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</si>
  <si>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</si>
  <si>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</si>
  <si>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</si>
  <si>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</si>
  <si>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</si>
  <si>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</si>
  <si>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</si>
  <si>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</si>
  <si>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</si>
  <si>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</si>
  <si>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</si>
  <si>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</si>
  <si>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</si>
  <si>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</si>
  <si>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</si>
  <si>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</si>
  <si>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</si>
  <si>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</si>
  <si>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</si>
  <si>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</si>
  <si>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</si>
  <si>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</si>
  <si>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</si>
  <si>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</si>
  <si>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</si>
  <si>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</si>
  <si>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</si>
  <si>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</si>
  <si>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</si>
  <si>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</si>
  <si>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</si>
  <si>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</si>
  <si>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</si>
  <si>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</si>
  <si>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</si>
  <si>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</si>
  <si>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</si>
  <si>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</si>
  <si>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</si>
  <si>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</si>
  <si>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</si>
  <si>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</si>
  <si>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</si>
  <si>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</si>
  <si>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</si>
  <si>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</si>
  <si>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</si>
  <si>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</si>
  <si>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</si>
  <si>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</si>
  <si>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</si>
  <si>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</si>
  <si>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</si>
  <si>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</si>
  <si>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</si>
  <si>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</si>
  <si>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</si>
  <si>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</si>
  <si>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</si>
  <si>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</si>
  <si>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</si>
  <si>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</si>
  <si>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</si>
  <si>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</si>
  <si>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</si>
  <si>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</si>
  <si>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</si>
  <si>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</si>
  <si>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</si>
  <si>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</si>
  <si>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</si>
  <si>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</si>
  <si>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</si>
  <si>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</si>
  <si>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</si>
  <si>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</si>
  <si>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</si>
  <si>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</si>
  <si>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</si>
  <si>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</si>
  <si>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</si>
  <si>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</si>
  <si>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</si>
  <si>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</si>
  <si>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</si>
  <si>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</si>
  <si>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</si>
  <si>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</si>
  <si>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</si>
  <si>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</si>
  <si>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</si>
  <si>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</si>
  <si>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</si>
  <si>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</si>
  <si>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</si>
  <si>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</si>
  <si>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</si>
  <si>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</si>
  <si>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</si>
  <si>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</si>
  <si>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</si>
  <si>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</si>
  <si>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</si>
  <si>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</si>
  <si>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</si>
  <si>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</si>
  <si>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</si>
  <si>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</si>
  <si>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</si>
  <si>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</si>
  <si>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</si>
  <si>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</si>
  <si>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</si>
  <si>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</si>
  <si>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</si>
  <si>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</si>
  <si>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</si>
  <si>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</si>
  <si>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</si>
  <si>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</si>
  <si>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</si>
  <si>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</si>
  <si>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</si>
  <si>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</si>
  <si>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</si>
  <si>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</si>
  <si>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</si>
  <si>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</si>
  <si>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</si>
  <si>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</si>
  <si>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</si>
  <si>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</si>
  <si>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</si>
  <si>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</si>
  <si>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</si>
  <si>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</si>
  <si>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</si>
  <si>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</si>
  <si>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</si>
  <si>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</si>
  <si>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</si>
  <si>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</si>
  <si>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</si>
  <si>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</si>
  <si>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</si>
  <si>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</si>
  <si>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</si>
  <si>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</si>
  <si>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</si>
  <si>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</si>
  <si>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</si>
  <si>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</si>
  <si>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</si>
  <si>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</si>
  <si>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</si>
  <si>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</si>
  <si>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</si>
  <si>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</si>
  <si>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</si>
  <si>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</si>
  <si>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</si>
  <si>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</si>
  <si>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</si>
  <si>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</si>
  <si>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</si>
  <si>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</si>
  <si>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</si>
  <si>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</si>
  <si>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</si>
  <si>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</si>
  <si>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</si>
  <si>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</si>
  <si>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</si>
  <si>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</si>
  <si>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</si>
  <si>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</si>
  <si>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</si>
  <si>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</si>
  <si>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</si>
  <si>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</si>
  <si>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</si>
  <si>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</si>
  <si>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</si>
  <si>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</si>
  <si>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</si>
  <si>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</si>
  <si>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</si>
  <si>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</si>
  <si>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</si>
  <si>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</si>
  <si>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</si>
  <si>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</si>
  <si>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</si>
  <si>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</si>
  <si>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</si>
  <si>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</si>
  <si>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</si>
  <si>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</si>
  <si>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</si>
  <si>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</si>
  <si>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</si>
  <si>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</si>
  <si>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</si>
  <si>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</si>
  <si>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</si>
  <si>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</si>
  <si>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</si>
  <si>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</si>
  <si>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</si>
  <si>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</si>
  <si>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</si>
  <si>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</si>
  <si>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</si>
  <si>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</si>
  <si>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</si>
  <si>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</si>
  <si>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</si>
  <si>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</si>
  <si>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</si>
  <si>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</si>
  <si>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</si>
  <si>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</si>
  <si>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</si>
  <si>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</si>
  <si>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</si>
  <si>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</si>
  <si>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</si>
  <si>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</si>
  <si>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</si>
  <si>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</si>
  <si>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</si>
  <si>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</si>
  <si>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</si>
  <si>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</si>
  <si>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</si>
  <si>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</si>
  <si>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</si>
  <si>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</si>
  <si>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</si>
  <si>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</si>
  <si>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</si>
  <si>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</si>
  <si>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</si>
  <si>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</si>
  <si>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</si>
  <si>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</si>
  <si>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</si>
  <si>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</si>
  <si>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</si>
  <si>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</si>
  <si>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</si>
  <si>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</si>
  <si>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</si>
  <si>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</si>
  <si>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</si>
  <si>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</si>
  <si>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</si>
  <si>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</si>
  <si>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</si>
  <si>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</si>
  <si>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</si>
  <si>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</si>
  <si>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</si>
  <si>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</si>
  <si>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</si>
  <si>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</si>
  <si>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</si>
  <si>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</si>
  <si>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</si>
  <si>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</si>
  <si>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</si>
  <si>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</si>
  <si>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</si>
  <si>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</si>
  <si>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</si>
  <si>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</si>
  <si>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</si>
  <si>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</si>
  <si>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</si>
  <si>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</si>
  <si>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</si>
  <si>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</si>
  <si>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</si>
  <si>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</si>
  <si>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</si>
  <si>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</si>
  <si>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</si>
  <si>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</si>
  <si>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</si>
  <si>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</si>
  <si>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</si>
  <si>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</si>
  <si>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</si>
  <si>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</si>
  <si>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</si>
  <si>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</si>
  <si>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</si>
  <si>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</si>
  <si>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</si>
  <si>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</si>
  <si>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</si>
  <si>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</si>
  <si>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</si>
  <si>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</si>
  <si>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</si>
  <si>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</si>
  <si>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</si>
  <si>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</si>
  <si>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</si>
  <si>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</si>
  <si>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</si>
  <si>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</si>
  <si>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</si>
  <si>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</si>
  <si>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</si>
  <si>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</si>
  <si>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</si>
  <si>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</si>
  <si>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</si>
  <si>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</si>
  <si>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</si>
  <si>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</si>
  <si>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</si>
  <si>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</si>
  <si>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</si>
  <si>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</si>
  <si>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</si>
  <si>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</si>
  <si>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</si>
  <si>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</si>
  <si>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</si>
  <si>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</si>
  <si>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</si>
  <si>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</si>
  <si>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</si>
  <si>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</si>
  <si>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</si>
  <si>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</si>
  <si>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</si>
  <si>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</si>
  <si>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</si>
  <si>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</si>
  <si>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</si>
  <si>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</si>
  <si>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</si>
  <si>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</si>
  <si>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</si>
  <si>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</si>
  <si>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</si>
  <si>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</si>
  <si>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</si>
  <si>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</si>
  <si>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</si>
  <si>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</si>
  <si>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</si>
  <si>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</si>
  <si>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</si>
  <si>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</si>
  <si>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</si>
  <si>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</si>
  <si>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</si>
  <si>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</si>
  <si>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</si>
  <si>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</si>
  <si>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</si>
  <si>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</si>
  <si>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</si>
  <si>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</si>
  <si>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</si>
  <si>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</si>
  <si>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</si>
  <si>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</si>
  <si>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</si>
  <si>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</si>
  <si>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</si>
  <si>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</si>
  <si>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</si>
  <si>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</si>
  <si>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</si>
  <si>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</si>
  <si>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</si>
  <si>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</si>
  <si>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</si>
  <si>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</si>
  <si>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</si>
  <si>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</si>
  <si>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</si>
  <si>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</si>
  <si>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</si>
  <si>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</si>
  <si>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</si>
  <si>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</si>
  <si>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</si>
  <si>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</si>
  <si>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</si>
  <si>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</si>
  <si>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</si>
  <si>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</si>
  <si>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</si>
  <si>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</si>
  <si>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</si>
  <si>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</si>
  <si>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</si>
  <si>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</si>
  <si>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</si>
  <si>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</si>
  <si>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</si>
  <si>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</si>
  <si>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</si>
  <si>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</si>
  <si>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</si>
  <si>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</si>
  <si>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</si>
  <si>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</si>
  <si>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</si>
  <si>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</si>
  <si>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</si>
  <si>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</si>
  <si>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</si>
  <si>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</si>
  <si>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</si>
  <si>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</si>
  <si>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</si>
  <si>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</si>
  <si>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</si>
  <si>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</si>
  <si>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</si>
  <si>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</si>
  <si>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</si>
  <si>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</si>
  <si>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</si>
  <si>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</si>
  <si>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</si>
  <si>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</si>
  <si>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</si>
  <si>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</si>
  <si>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</si>
  <si>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</si>
  <si>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</si>
  <si>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</si>
  <si>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</si>
  <si>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</si>
  <si>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</si>
  <si>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</si>
  <si>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</si>
  <si>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</si>
  <si>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</si>
  <si>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</si>
  <si>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</si>
  <si>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</si>
  <si>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</si>
  <si>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</si>
  <si>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</si>
  <si>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</si>
  <si>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</si>
  <si>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</si>
  <si>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</si>
  <si>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</si>
  <si>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</si>
  <si>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</si>
  <si>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</si>
  <si>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</si>
  <si>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</si>
  <si>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</si>
  <si>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</si>
  <si>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</si>
  <si>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</si>
  <si>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</si>
  <si>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</si>
  <si>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</si>
  <si>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</si>
  <si>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</si>
  <si>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</si>
  <si>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</si>
  <si>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</si>
  <si>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</si>
  <si>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</si>
  <si>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</si>
  <si>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</si>
  <si>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</si>
  <si>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</si>
  <si>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</si>
  <si>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</si>
  <si>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</si>
  <si>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</si>
  <si>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</si>
  <si>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</si>
  <si>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</si>
  <si>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</si>
  <si>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</si>
  <si>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</si>
  <si>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</si>
  <si>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</si>
  <si>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</si>
  <si>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</si>
  <si>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</si>
  <si>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</si>
  <si>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</si>
  <si>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</si>
  <si>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</si>
  <si>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</si>
  <si>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</si>
  <si>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</si>
  <si>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</si>
  <si>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</si>
  <si>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</si>
  <si>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</si>
  <si>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</si>
  <si>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</si>
  <si>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</si>
  <si>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</si>
  <si>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</si>
  <si>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</si>
  <si>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</si>
  <si>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</si>
  <si>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</si>
  <si>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</si>
  <si>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</si>
  <si>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</si>
  <si>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</si>
  <si>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</si>
  <si>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</si>
  <si>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</si>
  <si>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</si>
  <si>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</si>
  <si>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</si>
  <si>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</si>
  <si>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</si>
  <si>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</si>
  <si>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</si>
  <si>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</si>
  <si>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</si>
  <si>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</si>
  <si>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</si>
  <si>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</si>
  <si>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</si>
  <si>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</si>
  <si>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</si>
  <si>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</si>
  <si>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</si>
  <si>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</si>
  <si>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</si>
  <si>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</si>
  <si>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</si>
  <si>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</si>
  <si>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</si>
  <si>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</si>
  <si>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</si>
  <si>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</si>
  <si>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</si>
  <si>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</si>
  <si>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</si>
  <si>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</si>
  <si>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</si>
  <si>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</si>
  <si>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</si>
  <si>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</si>
  <si>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</si>
  <si>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</si>
  <si>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</si>
  <si>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</si>
  <si>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</si>
  <si>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</si>
  <si>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</si>
  <si>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</si>
  <si>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</si>
  <si>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</si>
  <si>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</si>
  <si>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</si>
  <si>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</si>
  <si>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</si>
  <si>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</si>
  <si>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</si>
  <si>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</si>
  <si>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</si>
  <si>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</si>
  <si>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</si>
  <si>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</si>
  <si>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</si>
  <si>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</si>
  <si>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</si>
  <si>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</si>
  <si>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</si>
  <si>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</si>
  <si>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</si>
  <si>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</si>
  <si>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</si>
  <si>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</si>
  <si>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</si>
  <si>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</si>
  <si>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</si>
  <si>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</si>
  <si>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</si>
  <si>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</si>
  <si>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</si>
  <si>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</si>
  <si>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</si>
  <si>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</si>
  <si>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</si>
  <si>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</si>
  <si>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</si>
  <si>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</si>
  <si>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</si>
  <si>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</si>
  <si>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</si>
  <si>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</si>
  <si>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</si>
  <si>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</si>
  <si>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</si>
  <si>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</si>
  <si>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</si>
  <si>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</si>
  <si>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</si>
  <si>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</si>
  <si>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</si>
  <si>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</si>
  <si>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</si>
  <si>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</si>
  <si>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</si>
  <si>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</si>
  <si>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</si>
  <si>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</si>
  <si>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</si>
  <si>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</si>
  <si>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</si>
  <si>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</si>
  <si>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</si>
  <si>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</si>
  <si>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</si>
  <si>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</si>
  <si>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</si>
  <si>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</si>
  <si>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</si>
  <si>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</si>
  <si>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</si>
  <si>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</si>
  <si>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</si>
  <si>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</si>
  <si>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</si>
  <si>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</si>
  <si>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</si>
  <si>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</si>
  <si>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</si>
  <si>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</si>
  <si>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</si>
  <si>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</si>
  <si>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</si>
  <si>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</si>
  <si>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</si>
  <si>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</si>
  <si>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</si>
  <si>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</si>
  <si>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</si>
  <si>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</si>
  <si>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</si>
  <si>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</si>
  <si>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</si>
  <si>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</si>
  <si>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</si>
  <si>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</si>
  <si>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</si>
  <si>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</si>
  <si>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</si>
  <si>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</si>
  <si>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</si>
  <si>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</si>
  <si>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</si>
  <si>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</si>
  <si>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</si>
  <si>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</si>
  <si>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</si>
  <si>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</si>
  <si>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</si>
  <si>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</si>
  <si>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</si>
  <si>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</si>
  <si>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</si>
  <si>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</si>
  <si>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</si>
  <si>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</si>
  <si>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</si>
  <si>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</si>
  <si>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</si>
  <si>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</si>
  <si>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</si>
  <si>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</si>
  <si>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</si>
  <si>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</si>
  <si>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</si>
  <si>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</si>
  <si>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</si>
  <si>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</si>
  <si>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</si>
  <si>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</si>
  <si>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</si>
  <si>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</si>
  <si>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</si>
  <si>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</si>
  <si>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</si>
  <si>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</si>
  <si>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</si>
  <si>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</si>
  <si>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</si>
  <si>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</si>
  <si>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</si>
  <si>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</si>
  <si>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</si>
  <si>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</si>
  <si>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</si>
  <si>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</si>
  <si>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</si>
  <si>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</si>
  <si>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</si>
  <si>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</si>
  <si>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</si>
  <si>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</si>
  <si>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</si>
  <si>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</si>
  <si>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</si>
  <si>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</si>
  <si>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</si>
  <si>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</si>
  <si>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</si>
  <si>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</si>
  <si>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</si>
  <si>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</si>
  <si>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</si>
  <si>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</si>
  <si>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</si>
  <si>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</si>
  <si>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</si>
  <si>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</si>
  <si>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</si>
  <si>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</si>
  <si>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</si>
  <si>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</si>
  <si>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</si>
  <si>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</si>
  <si>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</si>
  <si>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</si>
  <si>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</si>
  <si>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</si>
  <si>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</si>
  <si>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</si>
  <si>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</si>
  <si>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</si>
  <si>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</si>
  <si>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</si>
  <si>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</si>
  <si>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</si>
  <si>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</si>
  <si>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</si>
  <si>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</si>
  <si>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</si>
  <si>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</si>
  <si>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</si>
  <si>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</si>
  <si>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</si>
  <si>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</si>
  <si>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</si>
  <si>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</si>
  <si>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</si>
  <si>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</si>
  <si>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</si>
  <si>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</si>
  <si>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</si>
  <si>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</si>
  <si>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</si>
  <si>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</si>
  <si>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</si>
  <si>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</si>
  <si>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</si>
  <si>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</si>
  <si>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</si>
  <si>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</si>
  <si>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</si>
  <si>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</si>
  <si>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</si>
  <si>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</si>
  <si>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</si>
  <si>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</si>
  <si>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</si>
  <si>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</si>
  <si>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</si>
  <si>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</si>
  <si>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</si>
  <si>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</si>
  <si>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</si>
  <si>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</si>
  <si>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</si>
  <si>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</si>
  <si>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</si>
  <si>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</si>
  <si>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</si>
  <si>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</si>
  <si>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</si>
  <si>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</si>
  <si>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</si>
  <si>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</si>
  <si>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</si>
  <si>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</si>
  <si>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</si>
  <si>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</si>
  <si>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</si>
  <si>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</si>
  <si>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</si>
  <si>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</si>
  <si>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</si>
  <si>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</si>
  <si>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</si>
  <si>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</si>
  <si>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</si>
  <si>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</si>
  <si>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</si>
  <si>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</si>
  <si>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</si>
  <si>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</si>
  <si>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</si>
  <si>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</si>
  <si>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</si>
  <si>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</si>
  <si>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</si>
  <si>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</si>
  <si>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</si>
  <si>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</si>
  <si>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</si>
  <si>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</si>
  <si>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</si>
  <si>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</si>
  <si>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</si>
  <si>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</si>
  <si>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</si>
  <si>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</si>
  <si>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</si>
  <si>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</si>
  <si>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</si>
  <si>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</si>
  <si>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</si>
  <si>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</si>
  <si>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</si>
  <si>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</si>
  <si>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</si>
  <si>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</si>
  <si>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</si>
  <si>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</si>
  <si>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</si>
  <si>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</si>
  <si>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</si>
  <si>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</si>
  <si>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</si>
  <si>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</si>
  <si>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</si>
  <si>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</si>
  <si>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</si>
  <si>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</si>
  <si>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</si>
  <si>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</si>
  <si>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</si>
  <si>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</si>
  <si>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</si>
  <si>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</si>
  <si>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</si>
  <si>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</si>
  <si>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</si>
  <si>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</si>
  <si>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</si>
  <si>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</si>
  <si>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</si>
  <si>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</si>
  <si>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</si>
  <si>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</si>
  <si>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</si>
  <si>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</si>
  <si>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</si>
  <si>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</si>
  <si>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</si>
  <si>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</si>
  <si>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</si>
  <si>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</si>
  <si>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</si>
  <si>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</si>
  <si>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</si>
  <si>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</si>
  <si>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</si>
  <si>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</si>
  <si>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</si>
  <si>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</si>
  <si>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</si>
  <si>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</si>
  <si>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</si>
  <si>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</si>
  <si>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</si>
  <si>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</si>
  <si>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</si>
  <si>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</si>
  <si>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</si>
  <si>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</si>
  <si>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</si>
  <si>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</si>
  <si>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</si>
  <si>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</si>
  <si>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</si>
  <si>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</si>
  <si>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</si>
  <si>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</si>
  <si>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</si>
  <si>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</si>
  <si>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</si>
  <si>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</si>
  <si>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</si>
  <si>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</si>
  <si>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</si>
  <si>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</si>
  <si>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</si>
  <si>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</si>
  <si>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</si>
  <si>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</si>
  <si>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</si>
  <si>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</si>
  <si>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</si>
  <si>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</si>
  <si>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</si>
  <si>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</si>
  <si>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</si>
  <si>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</si>
  <si>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</si>
  <si>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</si>
  <si>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</si>
  <si>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</si>
  <si>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</si>
  <si>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</si>
  <si>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</si>
  <si>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</si>
  <si>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</si>
  <si>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</si>
  <si>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</si>
  <si>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</si>
  <si>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</si>
  <si>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</si>
  <si>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</si>
  <si>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</si>
  <si>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</si>
  <si>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</si>
  <si>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</si>
  <si>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</si>
  <si>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</si>
  <si>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</si>
  <si>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</si>
  <si>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</si>
  <si>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</si>
  <si>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</si>
  <si>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</si>
  <si>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</si>
  <si>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</si>
  <si>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</si>
  <si>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</si>
  <si>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</si>
  <si>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</si>
  <si>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</si>
  <si>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</si>
  <si>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</si>
  <si>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</si>
  <si>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</si>
  <si>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</si>
  <si>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</si>
  <si>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</si>
  <si>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</si>
  <si>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</si>
  <si>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</si>
  <si>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</si>
  <si>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</si>
  <si>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</si>
  <si>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</si>
  <si>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</si>
  <si>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</si>
  <si>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</si>
  <si>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</si>
  <si>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</si>
  <si>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</si>
  <si>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</si>
  <si>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</si>
  <si>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</si>
  <si>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</si>
  <si>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</si>
  <si>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</si>
  <si>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</si>
  <si>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</si>
  <si>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</si>
  <si>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</si>
  <si>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</si>
  <si>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</si>
  <si>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</si>
  <si>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</si>
  <si>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</si>
  <si>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</si>
  <si>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</si>
  <si>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</si>
  <si>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</si>
  <si>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</si>
  <si>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</si>
  <si>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</si>
  <si>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</si>
  <si>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</si>
  <si>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</si>
  <si>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</si>
  <si>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</si>
  <si>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</si>
  <si>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</si>
  <si>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</si>
  <si>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</si>
  <si>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</si>
  <si>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</si>
  <si>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</si>
  <si>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</si>
  <si>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</si>
  <si>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</si>
  <si>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</si>
  <si>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</si>
  <si>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</si>
  <si>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</si>
  <si>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</si>
  <si>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</si>
  <si>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</si>
  <si>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</si>
  <si>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</si>
  <si>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</si>
  <si>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</si>
  <si>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</si>
  <si>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</si>
  <si>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</si>
  <si>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</si>
  <si>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</si>
  <si>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</si>
  <si>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</si>
  <si>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</si>
  <si>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</si>
  <si>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</si>
  <si>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</si>
  <si>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</si>
  <si>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</si>
  <si>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</si>
  <si>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</si>
  <si>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</si>
  <si>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</si>
  <si>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</si>
  <si>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</si>
  <si>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</si>
  <si>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</si>
  <si>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</si>
  <si>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</si>
  <si>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</si>
  <si>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</si>
  <si>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</si>
  <si>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</si>
  <si>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</si>
  <si>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</si>
  <si>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</si>
  <si>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</si>
  <si>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</si>
  <si>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</si>
  <si>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</si>
  <si>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</si>
  <si>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</si>
  <si>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</si>
  <si>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</si>
  <si>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</si>
  <si>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</si>
  <si>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</si>
  <si>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</si>
  <si>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</si>
  <si>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</si>
  <si>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</si>
  <si>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</si>
  <si>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</si>
  <si>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</si>
  <si>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</si>
  <si>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</si>
  <si>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</si>
  <si>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</si>
  <si>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</si>
  <si>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</si>
  <si>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</si>
  <si>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</si>
  <si>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</si>
  <si>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</si>
  <si>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</si>
  <si>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</si>
  <si>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</si>
  <si>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</si>
  <si>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</si>
  <si>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</si>
  <si>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</si>
  <si>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</si>
  <si>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</si>
  <si>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</si>
  <si>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</si>
  <si>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</si>
  <si>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</si>
  <si>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</si>
  <si>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</si>
  <si>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</si>
  <si>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</si>
  <si>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</si>
  <si>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</si>
  <si>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</si>
  <si>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</si>
  <si>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</si>
  <si>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</si>
  <si>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</si>
  <si>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</si>
  <si>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</si>
  <si>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</si>
  <si>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</si>
  <si>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</si>
  <si>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</si>
  <si>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</si>
  <si>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</si>
  <si>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</si>
  <si>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</si>
  <si>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</si>
  <si>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</si>
  <si>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</si>
  <si>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</si>
  <si>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</si>
  <si>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</si>
  <si>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</si>
  <si>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</si>
  <si>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</si>
  <si>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</si>
  <si>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</si>
  <si>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</si>
  <si>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</si>
  <si>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</si>
  <si>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</si>
  <si>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</si>
  <si>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</si>
  <si>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</si>
  <si>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</si>
  <si>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</si>
  <si>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</si>
  <si>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</si>
  <si>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</si>
  <si>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</si>
  <si>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</si>
  <si>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</si>
  <si>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</si>
  <si>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</si>
  <si>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</si>
  <si>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</si>
  <si>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</si>
  <si>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</si>
  <si>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</si>
  <si>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</si>
  <si>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</si>
  <si>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</si>
  <si>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</si>
  <si>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</si>
  <si>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</si>
  <si>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</si>
  <si>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</si>
  <si>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</si>
  <si>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</si>
  <si>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</si>
  <si>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</si>
  <si>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</si>
  <si>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</si>
  <si>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</si>
  <si>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</si>
  <si>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</si>
  <si>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</si>
  <si>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</si>
  <si>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</si>
  <si>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</si>
  <si>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</si>
  <si>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</si>
  <si>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</si>
  <si>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</si>
  <si>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</si>
  <si>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</si>
  <si>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</si>
  <si>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</si>
  <si>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</si>
  <si>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</si>
  <si>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</si>
  <si>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</si>
  <si>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</si>
  <si>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</si>
  <si>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</si>
  <si>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</si>
  <si>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</si>
  <si>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</si>
  <si>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</si>
  <si>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</si>
  <si>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</si>
  <si>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</si>
  <si>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</si>
  <si>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</si>
  <si>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</si>
  <si>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</si>
  <si>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</si>
  <si>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</si>
  <si>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</si>
  <si>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</si>
  <si>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</si>
  <si>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</si>
  <si>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</si>
  <si>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</si>
  <si>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</si>
  <si>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</si>
  <si>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</si>
  <si>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</si>
  <si>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</si>
  <si>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</si>
  <si>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</si>
  <si>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</si>
  <si>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</si>
  <si>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</si>
  <si>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</si>
  <si>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</si>
  <si>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</si>
  <si>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</si>
  <si>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</si>
  <si>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</si>
  <si>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</si>
  <si>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</si>
  <si>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</si>
  <si>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</si>
  <si>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</si>
  <si>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</si>
  <si>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</si>
  <si>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</si>
  <si>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</si>
  <si>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</si>
  <si>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</si>
  <si>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</si>
  <si>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</si>
  <si>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</si>
  <si>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</si>
  <si>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</si>
  <si>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</si>
  <si>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</si>
  <si>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</si>
  <si>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</si>
  <si>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</si>
  <si>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</si>
  <si>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</si>
  <si>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</si>
  <si>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</si>
  <si>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</si>
  <si>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</si>
  <si>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</si>
  <si>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</si>
  <si>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</si>
  <si>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</si>
  <si>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</si>
  <si>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</si>
  <si>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</si>
  <si>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</si>
  <si>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</si>
  <si>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</si>
  <si>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</si>
  <si>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</si>
  <si>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</si>
  <si>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</si>
  <si>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</si>
  <si>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</si>
  <si>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</si>
  <si>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</si>
  <si>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</si>
  <si>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</si>
  <si>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</si>
  <si>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</si>
  <si>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</si>
  <si>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</si>
  <si>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</si>
  <si>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</si>
  <si>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</si>
  <si>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</si>
  <si>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</si>
  <si>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</si>
  <si>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</si>
  <si>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</si>
  <si>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</si>
  <si>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</si>
  <si>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</si>
  <si>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</si>
  <si>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</si>
  <si>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</si>
  <si>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</si>
  <si>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</si>
  <si>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</si>
  <si>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</si>
  <si>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</si>
  <si>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</si>
  <si>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</si>
  <si>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</si>
  <si>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</si>
  <si>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</si>
  <si>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</si>
  <si>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</si>
  <si>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</si>
  <si>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</si>
  <si>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</si>
  <si>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</si>
  <si>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</si>
  <si>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</si>
  <si>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</si>
  <si>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</si>
  <si>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</si>
  <si>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</si>
  <si>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</si>
  <si>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</si>
  <si>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</si>
  <si>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</si>
  <si>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</si>
  <si>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</si>
  <si>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</si>
  <si>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</si>
  <si>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</si>
  <si>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</si>
  <si>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</si>
  <si>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</si>
  <si>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</si>
  <si>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</si>
  <si>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</si>
  <si>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</si>
  <si>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</si>
  <si>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</si>
  <si>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</si>
  <si>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</si>
  <si>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</si>
  <si>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</si>
  <si>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</si>
  <si>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</si>
  <si>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</si>
  <si>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</si>
  <si>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</si>
  <si>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</si>
  <si>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</si>
  <si>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</si>
  <si>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</si>
  <si>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</si>
  <si>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</si>
  <si>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</si>
  <si>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</si>
  <si>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</si>
  <si>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</si>
  <si>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</si>
  <si>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</si>
  <si>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</si>
  <si>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</si>
  <si>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</si>
  <si>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</si>
  <si>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</si>
  <si>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</si>
  <si>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</si>
  <si>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</si>
  <si>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</si>
  <si>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</si>
  <si>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</si>
  <si>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</si>
  <si>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</si>
  <si>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</si>
  <si>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</si>
  <si>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</si>
  <si>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</si>
  <si>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</si>
  <si>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</si>
  <si>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</si>
  <si>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</si>
  <si>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</si>
  <si>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</si>
  <si>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</si>
  <si>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</si>
  <si>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</si>
  <si>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</si>
  <si>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</si>
  <si>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</si>
  <si>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</si>
  <si>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</si>
  <si>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</si>
  <si>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</si>
  <si>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</si>
  <si>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</si>
  <si>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</si>
  <si>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</si>
  <si>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</si>
  <si>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</si>
  <si>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</si>
  <si>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</si>
  <si>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</si>
  <si>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</si>
  <si>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</si>
  <si>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</si>
  <si>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</si>
  <si>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</si>
  <si>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</si>
  <si>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</si>
  <si>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</si>
  <si>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</si>
  <si>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</si>
  <si>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</si>
  <si>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</si>
  <si>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</si>
  <si>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</si>
  <si>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</si>
  <si>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</si>
  <si>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</si>
  <si>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</si>
  <si>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</si>
  <si>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</si>
  <si>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</si>
  <si>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</si>
  <si>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</si>
  <si>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</si>
  <si>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</si>
  <si>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</si>
  <si>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</si>
  <si>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</si>
  <si>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</si>
  <si>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</si>
  <si>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</si>
  <si>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</si>
  <si>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</si>
  <si>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</si>
  <si>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</si>
  <si>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</si>
  <si>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</si>
  <si>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</si>
  <si>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</si>
  <si>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</si>
  <si>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</si>
  <si>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</si>
  <si>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</si>
  <si>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</si>
  <si>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</si>
  <si>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</si>
  <si>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</si>
  <si>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</si>
  <si>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</si>
  <si>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</si>
  <si>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</si>
  <si>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</si>
  <si>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</si>
  <si>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</si>
  <si>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</si>
  <si>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</si>
  <si>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</si>
  <si>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</si>
  <si>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</si>
  <si>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</si>
  <si>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</si>
  <si>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</si>
  <si>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</si>
  <si>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</si>
  <si>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</si>
  <si>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</si>
  <si>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</si>
  <si>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</si>
  <si>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</si>
  <si>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</si>
  <si>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</si>
  <si>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</si>
  <si>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</si>
  <si>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</si>
  <si>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</si>
  <si>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</si>
  <si>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</si>
  <si>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</si>
  <si>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</si>
  <si>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</si>
  <si>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</si>
  <si>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</si>
  <si>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</si>
  <si>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</si>
  <si>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</si>
  <si>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</si>
  <si>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</si>
  <si>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</si>
  <si>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</si>
  <si>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</si>
  <si>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</si>
  <si>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</si>
  <si>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</si>
  <si>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</si>
  <si>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</si>
  <si>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</si>
  <si>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</si>
  <si>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</si>
  <si>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</si>
  <si>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</si>
  <si>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</si>
  <si>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</si>
  <si>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</si>
  <si>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</si>
  <si>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</si>
  <si>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</si>
  <si>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</si>
  <si>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</si>
  <si>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</si>
  <si>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</si>
  <si>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</si>
  <si>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</si>
  <si>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</si>
  <si>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</si>
  <si>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</si>
  <si>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</si>
  <si>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</si>
  <si>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</si>
  <si>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</si>
  <si>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</si>
  <si>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</si>
  <si>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</si>
  <si>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</si>
  <si>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</si>
  <si>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</si>
  <si>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</si>
  <si>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</si>
  <si>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</si>
  <si>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</si>
  <si>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</si>
  <si>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</si>
  <si>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</si>
  <si>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</si>
  <si>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</si>
  <si>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</si>
  <si>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</si>
  <si>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</si>
  <si>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</si>
  <si>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</si>
  <si>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</si>
  <si>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</si>
  <si>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</si>
  <si>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</si>
  <si>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</si>
  <si>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</si>
  <si>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</si>
  <si>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</si>
  <si>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</si>
  <si>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</si>
  <si>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</si>
  <si>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</si>
  <si>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</si>
  <si>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</si>
  <si>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</si>
  <si>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</si>
  <si>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</si>
  <si>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</si>
  <si>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</si>
  <si>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</si>
  <si>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</si>
  <si>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</si>
  <si>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</si>
  <si>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</si>
  <si>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</si>
  <si>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</si>
  <si>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</si>
  <si>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</si>
  <si>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</si>
  <si>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</si>
  <si>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</si>
  <si>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</si>
  <si>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</si>
  <si>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</si>
  <si>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</si>
  <si>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</si>
  <si>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</si>
  <si>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</si>
  <si>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</si>
  <si>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</si>
  <si>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</si>
  <si>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</si>
  <si>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</si>
  <si>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</si>
  <si>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</si>
  <si>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</si>
  <si>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</si>
  <si>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</si>
  <si>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</si>
  <si>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</si>
  <si>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</si>
  <si>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</si>
  <si>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</si>
  <si>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</si>
  <si>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</si>
  <si>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</si>
  <si>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</si>
  <si>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</si>
  <si>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</si>
  <si>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</si>
  <si>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</si>
  <si>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</si>
  <si>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</si>
  <si>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</si>
  <si>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</si>
  <si>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</si>
  <si>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</si>
  <si>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</si>
  <si>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</si>
  <si>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</si>
  <si>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</si>
  <si>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</si>
  <si>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</si>
  <si>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</si>
  <si>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</si>
  <si>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</si>
  <si>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</si>
  <si>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</si>
  <si>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</si>
  <si>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</si>
  <si>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</si>
  <si>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</si>
  <si>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</si>
  <si>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</si>
  <si>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</si>
  <si>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</si>
  <si>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</si>
  <si>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</si>
  <si>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</si>
  <si>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</si>
  <si>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</si>
  <si>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</si>
  <si>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</si>
  <si>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</si>
  <si>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</si>
  <si>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</si>
  <si>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</si>
  <si>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</si>
  <si>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</si>
  <si>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</si>
  <si>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</si>
  <si>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</si>
  <si>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</si>
  <si>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</si>
  <si>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</si>
  <si>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</si>
  <si>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</si>
  <si>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</si>
  <si>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</si>
  <si>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</si>
  <si>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</si>
  <si>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</si>
  <si>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</si>
  <si>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</si>
  <si>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</si>
  <si>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</si>
  <si>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</si>
  <si>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</si>
  <si>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</si>
  <si>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</si>
  <si>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</si>
  <si>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</si>
  <si>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</si>
  <si>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</si>
  <si>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</si>
  <si>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</si>
  <si>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</si>
  <si>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</si>
  <si>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</si>
  <si>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</si>
  <si>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</si>
  <si>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</si>
  <si>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</si>
  <si>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</si>
  <si>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</si>
  <si>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</si>
  <si>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</si>
  <si>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</si>
  <si>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</si>
  <si>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</si>
  <si>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</si>
  <si>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</si>
  <si>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</si>
  <si>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</si>
  <si>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</si>
  <si>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</si>
  <si>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</si>
  <si>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</si>
  <si>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</si>
  <si>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</si>
  <si>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</si>
  <si>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</si>
  <si>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</si>
  <si>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</si>
  <si>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</si>
  <si>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</si>
  <si>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</si>
  <si>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</si>
  <si>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</si>
  <si>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</si>
  <si>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</si>
  <si>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</si>
  <si>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</si>
  <si>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</si>
  <si>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</si>
  <si>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</si>
  <si>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</si>
  <si>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</si>
  <si>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</si>
  <si>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</si>
  <si>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</si>
  <si>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</si>
  <si>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</si>
  <si>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</si>
  <si>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</si>
  <si>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</si>
  <si>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</si>
  <si>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</si>
  <si>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</si>
  <si>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</si>
  <si>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</si>
  <si>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</si>
  <si>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</si>
  <si>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</si>
  <si>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</si>
  <si>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</si>
  <si>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</si>
  <si>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</si>
  <si>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</si>
  <si>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</si>
  <si>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</si>
  <si>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</si>
  <si>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</si>
  <si>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</si>
  <si>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</si>
  <si>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</si>
  <si>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</si>
  <si>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</si>
  <si>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</si>
  <si>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</si>
  <si>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</si>
  <si>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</si>
  <si>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</si>
  <si>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</si>
  <si>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</si>
  <si>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</si>
  <si>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</si>
  <si>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</si>
  <si>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</si>
  <si>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</si>
  <si>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</si>
  <si>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</si>
  <si>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</si>
  <si>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</si>
  <si>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</si>
  <si>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</si>
  <si>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</si>
  <si>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</si>
  <si>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</si>
  <si>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</si>
  <si>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</si>
  <si>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</si>
  <si>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</si>
  <si>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</si>
  <si>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</si>
  <si>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</si>
  <si>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</si>
  <si>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</si>
  <si>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</si>
  <si>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</si>
  <si>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</si>
  <si>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</si>
  <si>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</si>
  <si>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</si>
  <si>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</si>
  <si>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</si>
  <si>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</si>
  <si>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</si>
  <si>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</si>
  <si>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</si>
  <si>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</si>
  <si>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</si>
  <si>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</si>
  <si>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</si>
  <si>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</si>
  <si>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</si>
  <si>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</si>
  <si>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</si>
  <si>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</si>
  <si>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</si>
  <si>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</si>
  <si>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</si>
  <si>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</si>
  <si>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</si>
  <si>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</si>
  <si>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</si>
  <si>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</si>
  <si>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</si>
  <si>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</si>
  <si>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</si>
  <si>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</si>
  <si>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</si>
  <si>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</si>
  <si>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</si>
  <si>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</si>
  <si>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</si>
  <si>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</si>
  <si>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</si>
  <si>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</si>
  <si>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</si>
  <si>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</si>
  <si>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</si>
  <si>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</si>
  <si>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</si>
  <si>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</si>
  <si>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</si>
  <si>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</si>
  <si>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</si>
  <si>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</si>
  <si>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</si>
  <si>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</si>
  <si>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</si>
  <si>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</si>
  <si>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</si>
  <si>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</si>
  <si>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</si>
  <si>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</si>
  <si>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</si>
  <si>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</si>
  <si>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</si>
  <si>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</si>
  <si>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</si>
  <si>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</si>
  <si>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</si>
  <si>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</si>
  <si>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</si>
  <si>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</si>
  <si>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</si>
  <si>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</si>
  <si>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</si>
  <si>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</si>
  <si>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</si>
  <si>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</si>
  <si>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</si>
  <si>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</si>
  <si>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</si>
  <si>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</si>
  <si>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</si>
  <si>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</si>
  <si>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</si>
  <si>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</si>
  <si>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</si>
  <si>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</si>
  <si>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</si>
  <si>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</si>
  <si>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</si>
  <si>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</si>
  <si>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</si>
  <si>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</si>
  <si>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</si>
  <si>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</si>
  <si>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</si>
  <si>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</si>
  <si>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</si>
  <si>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</si>
  <si>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</si>
  <si>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</si>
  <si>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</si>
  <si>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</si>
  <si>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</si>
  <si>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</si>
  <si>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</si>
  <si>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</si>
  <si>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</si>
  <si>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</si>
  <si>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</si>
  <si>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</si>
  <si>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</si>
  <si>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</si>
  <si>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</si>
  <si>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</si>
  <si>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</si>
  <si>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</si>
  <si>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</si>
  <si>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</si>
  <si>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</si>
  <si>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</si>
  <si>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</si>
  <si>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</si>
  <si>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</si>
  <si>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</si>
  <si>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</si>
  <si>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</si>
  <si>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</si>
  <si>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</si>
  <si>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</si>
  <si>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</si>
  <si>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</si>
  <si>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</si>
  <si>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</si>
  <si>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</si>
  <si>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</si>
  <si>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</si>
  <si>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</si>
  <si>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</si>
  <si>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</si>
  <si>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</si>
  <si>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</si>
  <si>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</si>
  <si>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</si>
  <si>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</si>
  <si>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</si>
  <si>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</si>
  <si>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</si>
  <si>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</si>
  <si>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</si>
  <si>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</si>
  <si>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</si>
  <si>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</si>
  <si>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</si>
  <si>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</si>
  <si>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</si>
  <si>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</si>
  <si>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</si>
  <si>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</si>
  <si>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</si>
  <si>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</si>
  <si>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</si>
  <si>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</si>
  <si>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</si>
  <si>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</si>
  <si>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</si>
  <si>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</si>
  <si>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</si>
  <si>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</si>
  <si>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</si>
  <si>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</si>
  <si>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</si>
  <si>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</si>
  <si>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</si>
  <si>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</si>
  <si>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</si>
  <si>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</si>
  <si>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</si>
  <si>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</si>
  <si>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</si>
  <si>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</si>
  <si>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</si>
  <si>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</si>
  <si>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</si>
  <si>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</si>
  <si>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</si>
  <si>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</si>
  <si>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</si>
  <si>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</si>
  <si>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</si>
  <si>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</si>
  <si>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</si>
  <si>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</si>
  <si>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</si>
  <si>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</si>
  <si>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</si>
  <si>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</si>
  <si>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</si>
  <si>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</si>
  <si>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</si>
  <si>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</si>
  <si>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</si>
  <si>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</si>
  <si>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</si>
  <si>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</si>
  <si>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</si>
  <si>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</si>
  <si>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</si>
  <si>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</si>
  <si>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</si>
  <si>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</si>
  <si>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</si>
  <si>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</si>
  <si>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</si>
  <si>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</si>
  <si>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</si>
  <si>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</si>
  <si>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</si>
  <si>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</si>
  <si>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</si>
  <si>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</si>
  <si>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</si>
  <si>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</si>
  <si>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</si>
  <si>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</si>
  <si>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</si>
  <si>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</si>
  <si>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</si>
  <si>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</si>
  <si>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</si>
  <si>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</si>
  <si>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</si>
  <si>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</si>
  <si>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</si>
  <si>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</si>
  <si>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</si>
  <si>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</si>
  <si>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</si>
  <si>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</si>
  <si>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</si>
  <si>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</si>
  <si>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</si>
  <si>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</si>
  <si>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</si>
  <si>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</si>
  <si>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</si>
  <si>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</si>
  <si>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</si>
  <si>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</si>
  <si>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</si>
  <si>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</si>
  <si>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</si>
  <si>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</si>
  <si>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</si>
  <si>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</si>
  <si>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</si>
  <si>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</si>
  <si>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</si>
  <si>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</si>
  <si>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</si>
  <si>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</si>
  <si>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</si>
  <si>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</si>
  <si>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</si>
  <si>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</si>
  <si>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</si>
  <si>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</si>
  <si>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</si>
  <si>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</si>
  <si>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</si>
  <si>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</si>
  <si>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</si>
  <si>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</si>
  <si>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</si>
  <si>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</si>
  <si>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</si>
  <si>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</si>
  <si>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</si>
  <si>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</si>
  <si>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</si>
  <si>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</si>
  <si>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</si>
  <si>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</si>
  <si>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</si>
  <si>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</si>
  <si>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</si>
  <si>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</si>
  <si>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</si>
  <si>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</si>
  <si>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</si>
  <si>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</si>
  <si>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</si>
  <si>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</si>
  <si>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</si>
  <si>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</si>
  <si>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</si>
  <si>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</si>
  <si>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</si>
  <si>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</si>
  <si>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</si>
  <si>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</si>
  <si>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</si>
  <si>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</si>
  <si>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</si>
  <si>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</si>
  <si>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</si>
  <si>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</si>
  <si>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</si>
  <si>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</si>
  <si>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</si>
  <si>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</si>
  <si>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</si>
  <si>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</si>
  <si>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</si>
  <si>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</si>
  <si>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</si>
  <si>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</si>
  <si>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</si>
  <si>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</si>
  <si>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</si>
  <si>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</si>
  <si>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</si>
  <si>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</si>
  <si>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</si>
  <si>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</si>
  <si>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</si>
  <si>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</si>
  <si>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</si>
  <si>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</si>
  <si>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</si>
  <si>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</si>
  <si>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</si>
  <si>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</si>
  <si>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</si>
  <si>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</si>
  <si>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</si>
  <si>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</si>
  <si>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</si>
  <si>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</si>
  <si>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</si>
  <si>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</si>
  <si>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</si>
  <si>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</si>
  <si>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</si>
  <si>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</si>
  <si>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</si>
  <si>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</si>
  <si>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</si>
  <si>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</si>
  <si>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</si>
  <si>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</si>
  <si>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</si>
  <si>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</si>
  <si>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</si>
  <si>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</si>
  <si>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</si>
  <si>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</si>
  <si>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</si>
  <si>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</si>
  <si>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</si>
  <si>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</si>
  <si>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</si>
  <si>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</si>
  <si>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</si>
  <si>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</si>
  <si>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</si>
  <si>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</si>
  <si>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</si>
  <si>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</si>
  <si>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</si>
  <si>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</si>
  <si>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</si>
  <si>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</si>
  <si>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</si>
  <si>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</si>
  <si>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</si>
  <si>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</si>
  <si>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</si>
  <si>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</si>
  <si>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</si>
  <si>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</si>
  <si>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</si>
  <si>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</si>
  <si>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</si>
  <si>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</si>
  <si>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</si>
  <si>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</si>
  <si>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</si>
  <si>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</si>
  <si>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</si>
  <si>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</si>
  <si>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</si>
  <si>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</si>
  <si>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</si>
  <si>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</si>
  <si>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</si>
  <si>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</si>
  <si>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</si>
  <si>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</si>
  <si>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</si>
  <si>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</si>
  <si>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</si>
  <si>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</si>
  <si>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</si>
  <si>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</si>
  <si>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</si>
  <si>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</si>
  <si>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</si>
  <si>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</si>
  <si>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</si>
  <si>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</si>
  <si>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</si>
  <si>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</si>
  <si>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</si>
  <si>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</si>
  <si>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</si>
  <si>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</si>
  <si>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</si>
  <si>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</si>
  <si>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</si>
  <si>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</si>
  <si>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</si>
  <si>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</si>
  <si>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</si>
  <si>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</si>
  <si>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</si>
  <si>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</si>
  <si>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</si>
  <si>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</si>
  <si>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</si>
  <si>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</si>
  <si>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</si>
  <si>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</si>
  <si>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</si>
  <si>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</si>
  <si>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</si>
  <si>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</si>
  <si>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</si>
  <si>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</si>
  <si>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</si>
  <si>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</si>
  <si>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</si>
  <si>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</si>
  <si>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</si>
  <si>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</si>
  <si>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</si>
  <si>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</si>
  <si>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</si>
  <si>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</si>
  <si>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</si>
  <si>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</si>
  <si>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</si>
  <si>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</si>
  <si>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</si>
  <si>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</si>
  <si>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</si>
  <si>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</si>
  <si>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</si>
  <si>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</si>
  <si>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</si>
  <si>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</si>
  <si>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</si>
  <si>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</si>
  <si>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</si>
  <si>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</si>
  <si>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</si>
  <si>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</si>
  <si>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</si>
  <si>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</si>
  <si>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</si>
  <si>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</si>
  <si>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</si>
  <si>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</si>
  <si>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</si>
  <si>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</si>
  <si>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</si>
  <si>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</si>
  <si>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</si>
  <si>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</si>
  <si>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</si>
  <si>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</si>
  <si>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</si>
  <si>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</si>
  <si>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</si>
  <si>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</si>
  <si>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</si>
  <si>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</si>
  <si>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</si>
  <si>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</si>
  <si>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</si>
  <si>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</si>
  <si>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</si>
  <si>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</si>
  <si>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</si>
  <si>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</si>
  <si>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</si>
  <si>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</si>
  <si>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</si>
  <si>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</si>
  <si>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</si>
  <si>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</si>
  <si>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</si>
  <si>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</si>
  <si>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</si>
  <si>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</si>
  <si>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</si>
  <si>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</si>
  <si>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</si>
  <si>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</si>
  <si>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</si>
  <si>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</si>
  <si>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</si>
  <si>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</si>
  <si>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</si>
  <si>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</si>
  <si>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</si>
  <si>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</si>
  <si>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</si>
  <si>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</si>
  <si>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</si>
  <si>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</si>
  <si>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</si>
  <si>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</si>
  <si>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</si>
  <si>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</si>
  <si>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</si>
  <si>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</si>
  <si>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</si>
  <si>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</si>
  <si>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</si>
  <si>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</si>
  <si>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</si>
  <si>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</si>
  <si>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</si>
  <si>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</si>
  <si>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</si>
  <si>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</si>
  <si>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</si>
  <si>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</si>
  <si>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</si>
  <si>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</si>
  <si>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</si>
  <si>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</si>
  <si>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</si>
  <si>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</si>
  <si>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</si>
  <si>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</si>
  <si>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</si>
  <si>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</si>
  <si>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</si>
  <si>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</si>
  <si>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</si>
  <si>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</si>
  <si>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</si>
  <si>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</si>
  <si>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</si>
  <si>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</si>
  <si>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</si>
  <si>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</si>
  <si>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</si>
  <si>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</si>
  <si>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</si>
  <si>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</si>
  <si>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</si>
  <si>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</si>
  <si>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</si>
  <si>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</si>
  <si>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</si>
  <si>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</si>
  <si>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</si>
  <si>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</si>
  <si>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</si>
  <si>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</si>
  <si>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</si>
  <si>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</si>
  <si>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</si>
  <si>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</si>
  <si>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</si>
  <si>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</si>
  <si>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</si>
  <si>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</si>
  <si>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</si>
  <si>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</si>
  <si>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</si>
  <si>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</si>
  <si>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</si>
  <si>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</si>
  <si>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</si>
  <si>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</si>
  <si>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</si>
  <si>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</si>
  <si>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</si>
  <si>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</si>
  <si>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</si>
  <si>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</si>
  <si>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</si>
  <si>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</si>
  <si>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</si>
  <si>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</si>
  <si>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</si>
  <si>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</si>
  <si>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</si>
  <si>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</si>
  <si>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</si>
  <si>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</si>
  <si>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</si>
  <si>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</si>
  <si>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</si>
  <si>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</si>
  <si>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</si>
  <si>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</si>
  <si>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</si>
  <si>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</si>
  <si>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</si>
  <si>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</si>
  <si>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</si>
  <si>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</si>
  <si>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</si>
  <si>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</si>
  <si>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</si>
  <si>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</si>
  <si>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</si>
  <si>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</si>
  <si>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</si>
  <si>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</si>
  <si>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</si>
  <si>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</si>
  <si>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</si>
  <si>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</si>
  <si>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</si>
  <si>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</si>
  <si>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</si>
  <si>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</si>
  <si>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</si>
  <si>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</si>
  <si>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</si>
  <si>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</si>
  <si>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</si>
  <si>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</si>
  <si>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</si>
  <si>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</si>
  <si>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</si>
  <si>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</si>
  <si>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</si>
  <si>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</si>
  <si>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</si>
  <si>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</si>
  <si>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</si>
  <si>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</si>
  <si>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</si>
  <si>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</si>
  <si>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</si>
  <si>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</si>
  <si>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</si>
  <si>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</si>
  <si>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</si>
  <si>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</si>
  <si>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</si>
  <si>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</si>
  <si>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</si>
  <si>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</si>
  <si>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</si>
  <si>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</si>
  <si>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</si>
  <si>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</si>
  <si>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</si>
  <si>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</si>
  <si>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</si>
  <si>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</si>
  <si>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</si>
  <si>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</si>
  <si>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</si>
  <si>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</si>
  <si>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</si>
  <si>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</si>
  <si>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</si>
  <si>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</si>
  <si>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</si>
  <si>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</si>
  <si>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</si>
  <si>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</si>
  <si>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</si>
  <si>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</si>
  <si>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</si>
  <si>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</si>
  <si>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</si>
  <si>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</si>
  <si>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</si>
  <si>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</si>
  <si>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</si>
  <si>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</si>
  <si>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</si>
  <si>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</si>
  <si>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</si>
  <si>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</si>
  <si>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</si>
  <si>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</si>
  <si>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</si>
  <si>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</si>
  <si>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</si>
  <si>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</si>
  <si>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</si>
  <si>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</si>
  <si>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</si>
  <si>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</si>
  <si>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</si>
  <si>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</si>
  <si>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</si>
  <si>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</si>
  <si>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</si>
  <si>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</si>
  <si>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</si>
  <si>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</si>
  <si>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</si>
  <si>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</si>
  <si>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</si>
  <si>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</si>
  <si>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</si>
  <si>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</si>
  <si>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</si>
  <si>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</si>
  <si>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</si>
  <si>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</si>
  <si>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</si>
  <si>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</si>
  <si>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</si>
  <si>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</si>
  <si>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</si>
  <si>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</si>
  <si>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</si>
  <si>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</si>
  <si>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</si>
  <si>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</si>
  <si>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</si>
  <si>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</si>
  <si>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</si>
  <si>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</si>
  <si>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</si>
  <si>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</si>
  <si>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</si>
  <si>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</si>
  <si>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</si>
  <si>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</si>
  <si>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</si>
  <si>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</si>
  <si>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</si>
  <si>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</si>
  <si>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</si>
  <si>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</si>
  <si>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</si>
  <si>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</si>
  <si>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</si>
  <si>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</si>
  <si>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</si>
  <si>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</si>
  <si>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</si>
  <si>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</si>
  <si>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</si>
  <si>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</si>
  <si>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</si>
  <si>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</si>
  <si>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</si>
  <si>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</si>
  <si>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</si>
  <si>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</si>
  <si>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</si>
  <si>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</si>
  <si>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</si>
  <si>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</si>
  <si>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</si>
  <si>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</si>
  <si>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</si>
  <si>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</si>
  <si>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</si>
  <si>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</si>
  <si>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</si>
  <si>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</si>
  <si>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</si>
  <si>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</si>
  <si>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</si>
  <si>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</si>
  <si>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</si>
  <si>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</si>
  <si>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</si>
  <si>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</si>
  <si>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</si>
  <si>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</si>
  <si>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</si>
  <si>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</si>
  <si>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</si>
  <si>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</si>
  <si>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</si>
  <si>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</si>
  <si>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</si>
  <si>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</si>
  <si>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</si>
  <si>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</si>
  <si>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</si>
  <si>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</si>
  <si>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</si>
  <si>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</si>
  <si>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</si>
  <si>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</si>
  <si>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</si>
  <si>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</si>
  <si>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</si>
  <si>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</si>
  <si>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</si>
  <si>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</si>
  <si>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</si>
  <si>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</si>
  <si>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</si>
  <si>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</si>
  <si>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</si>
  <si>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</si>
  <si>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</si>
  <si>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</si>
  <si>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</si>
  <si>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</si>
  <si>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</si>
  <si>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</si>
  <si>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</si>
  <si>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</si>
  <si>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</si>
  <si>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</si>
  <si>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</si>
  <si>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</si>
  <si>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</si>
  <si>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</si>
  <si>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</si>
  <si>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</si>
  <si>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</si>
  <si>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</si>
  <si>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</si>
  <si>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</si>
  <si>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</si>
  <si>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</si>
  <si>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</si>
  <si>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</si>
  <si>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</si>
  <si>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</si>
  <si>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</si>
  <si>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</si>
  <si>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</si>
  <si>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</si>
  <si>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</si>
  <si>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</si>
  <si>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</si>
  <si>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</si>
  <si>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</si>
  <si>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</si>
  <si>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</si>
  <si>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</si>
  <si>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</si>
  <si>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</si>
  <si>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</si>
  <si>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</si>
  <si>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</si>
  <si>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</si>
  <si>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</si>
  <si>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</si>
  <si>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</si>
  <si>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</si>
  <si>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</si>
  <si>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</si>
  <si>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</si>
  <si>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</si>
  <si>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</si>
  <si>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</si>
  <si>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</si>
  <si>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</si>
  <si>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</si>
  <si>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</si>
  <si>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</si>
  <si>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</si>
  <si>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</si>
  <si>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</si>
  <si>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</si>
  <si>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</si>
  <si>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</si>
  <si>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</si>
  <si>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</si>
  <si>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</si>
  <si>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</si>
  <si>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</si>
  <si>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</si>
  <si>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</si>
  <si>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</si>
  <si>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</si>
  <si>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</si>
  <si>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</si>
  <si>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</si>
  <si>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</si>
  <si>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</si>
  <si>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</si>
  <si>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</si>
  <si>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</si>
  <si>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</si>
  <si>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</si>
  <si>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</si>
  <si>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</si>
  <si>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</si>
  <si>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</si>
  <si>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</si>
  <si>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</si>
  <si>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</si>
  <si>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</si>
  <si>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</si>
  <si>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</si>
  <si>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</si>
  <si>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</si>
  <si>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</si>
  <si>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</si>
  <si>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</si>
  <si>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</si>
  <si>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</si>
  <si>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</si>
  <si>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</si>
  <si>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</si>
  <si>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</si>
  <si>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</si>
  <si>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</si>
  <si>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</si>
  <si>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</si>
  <si>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</si>
  <si>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</si>
  <si>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</si>
  <si>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</si>
  <si>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</si>
  <si>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</si>
  <si>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</si>
  <si>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</si>
  <si>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</si>
  <si>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</si>
  <si>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</si>
  <si>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</si>
  <si>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</si>
  <si>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</si>
  <si>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</si>
  <si>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</si>
  <si>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</si>
  <si>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</si>
  <si>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</si>
  <si>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</si>
  <si>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</si>
  <si>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</si>
  <si>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</si>
  <si>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</si>
  <si>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</si>
  <si>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</si>
  <si>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</si>
  <si>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</si>
  <si>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</si>
  <si>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</si>
  <si>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</si>
  <si>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</si>
  <si>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</si>
  <si>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</si>
  <si>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</si>
  <si>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</si>
  <si>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</si>
  <si>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</si>
  <si>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</si>
  <si>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</si>
  <si>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</si>
  <si>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</si>
  <si>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</si>
  <si>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</si>
  <si>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</si>
  <si>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</si>
  <si>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</si>
  <si>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</si>
  <si>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</si>
  <si>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</si>
  <si>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</si>
  <si>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</si>
  <si>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</si>
  <si>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</si>
  <si>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</si>
  <si>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</si>
  <si>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</si>
  <si>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</si>
  <si>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</si>
  <si>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</si>
  <si>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</si>
  <si>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</si>
  <si>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</si>
  <si>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</si>
  <si>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</si>
  <si>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</si>
  <si>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</si>
  <si>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</si>
  <si>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</si>
  <si>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</si>
  <si>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</si>
  <si>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</si>
  <si>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</si>
  <si>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</si>
  <si>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</si>
  <si>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</si>
  <si>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</si>
  <si>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</si>
  <si>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</si>
  <si>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</si>
  <si>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</si>
  <si>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</si>
  <si>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</si>
  <si>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</si>
  <si>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</si>
  <si>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</si>
  <si>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</si>
  <si>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</si>
  <si>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</si>
  <si>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</si>
  <si>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</si>
  <si>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</si>
  <si>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</si>
  <si>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</si>
  <si>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</si>
  <si>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</si>
  <si>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</si>
  <si>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</si>
  <si>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</si>
  <si>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</si>
  <si>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</si>
  <si>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</si>
  <si>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</si>
  <si>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</si>
  <si>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</si>
  <si>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</si>
  <si>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</si>
  <si>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</si>
  <si>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</si>
  <si>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</si>
  <si>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</si>
  <si>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</si>
  <si>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</si>
  <si>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</si>
  <si>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</si>
  <si>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</si>
  <si>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</si>
  <si>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</si>
  <si>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</si>
  <si>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</si>
  <si>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</si>
  <si>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</si>
  <si>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</si>
  <si>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</si>
  <si>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</si>
  <si>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</si>
  <si>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</si>
  <si>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</si>
  <si>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</si>
  <si>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</si>
  <si>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</si>
  <si>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</si>
  <si>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</si>
  <si>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</si>
  <si>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</si>
  <si>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</si>
  <si>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</si>
  <si>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</si>
  <si>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</si>
  <si>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</si>
  <si>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</si>
  <si>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</si>
  <si>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</si>
  <si>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</si>
  <si>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</si>
  <si>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</si>
  <si>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</si>
  <si>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</si>
  <si>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</si>
  <si>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</si>
  <si>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</si>
  <si>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</si>
  <si>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</si>
  <si>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</si>
  <si>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</si>
  <si>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</si>
  <si>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</si>
  <si>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</si>
  <si>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</si>
  <si>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</si>
  <si>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</si>
  <si>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</si>
  <si>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</si>
  <si>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</si>
  <si>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</si>
  <si>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</si>
  <si>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</si>
  <si>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</si>
  <si>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</si>
  <si>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</si>
  <si>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</si>
  <si>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</si>
  <si>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</si>
  <si>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</si>
  <si>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</si>
  <si>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</si>
  <si>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</si>
  <si>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</si>
  <si>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</si>
  <si>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</si>
  <si>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</si>
  <si>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</si>
  <si>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</si>
  <si>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</si>
  <si>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</si>
  <si>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</si>
  <si>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</si>
  <si>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</si>
  <si>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</si>
  <si>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</si>
  <si>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</si>
  <si>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</si>
  <si>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</si>
  <si>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</si>
  <si>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</si>
  <si>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</si>
  <si>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</si>
  <si>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</si>
  <si>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</si>
  <si>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</si>
  <si>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</si>
  <si>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</si>
  <si>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</si>
  <si>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</si>
  <si>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</si>
  <si>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</si>
  <si>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</si>
  <si>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</si>
  <si>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</si>
  <si>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</si>
  <si>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</si>
  <si>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</si>
  <si>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</si>
  <si>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</si>
  <si>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</si>
  <si>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</si>
  <si>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</si>
  <si>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</si>
  <si>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</si>
  <si>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</si>
  <si>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</si>
  <si>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</si>
  <si>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</si>
  <si>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</si>
  <si>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</si>
  <si>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</si>
  <si>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</si>
  <si>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</si>
  <si>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</si>
  <si>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</si>
  <si>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</si>
  <si>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</si>
  <si>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</si>
  <si>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</si>
  <si>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</si>
  <si>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</si>
  <si>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</si>
  <si>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</si>
  <si>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</si>
  <si>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</si>
  <si>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</si>
  <si>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</si>
  <si>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</si>
  <si>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</si>
  <si>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</si>
  <si>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</si>
  <si>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</si>
  <si>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</si>
  <si>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</si>
  <si>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</si>
  <si>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</si>
  <si>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</si>
  <si>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</si>
  <si>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</si>
  <si>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</si>
  <si>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</si>
  <si>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</si>
  <si>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</si>
  <si>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</si>
  <si>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</si>
  <si>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</si>
  <si>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</si>
  <si>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</si>
  <si>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</si>
  <si>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</si>
  <si>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</si>
  <si>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</si>
  <si>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</si>
  <si>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</si>
  <si>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</si>
  <si>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</si>
  <si>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</si>
  <si>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</si>
  <si>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</si>
  <si>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</si>
  <si>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</si>
  <si>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</si>
  <si>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</si>
  <si>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</si>
  <si>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</si>
  <si>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</si>
  <si>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</si>
  <si>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</si>
  <si>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</si>
  <si>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</si>
  <si>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</si>
  <si>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</si>
  <si>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</si>
  <si>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</si>
  <si>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</si>
  <si>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</si>
  <si>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</si>
  <si>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</si>
  <si>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</si>
  <si>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</si>
  <si>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</si>
  <si>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</si>
  <si>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</si>
  <si>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</si>
  <si>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</si>
  <si>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</si>
  <si>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</si>
  <si>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</si>
  <si>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</si>
  <si>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</si>
  <si>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</si>
  <si>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</si>
  <si>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</si>
  <si>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</si>
  <si>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</si>
  <si>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</si>
  <si>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</si>
  <si>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</si>
  <si>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</si>
  <si>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</si>
  <si>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</si>
  <si>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</si>
  <si>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</si>
  <si>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</si>
  <si>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</si>
  <si>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</si>
  <si>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</si>
  <si>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</si>
  <si>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</si>
  <si>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</si>
  <si>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</si>
  <si>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</si>
  <si>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</si>
  <si>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</si>
  <si>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</si>
  <si>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</si>
  <si>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</si>
  <si>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</si>
  <si>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</si>
  <si>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</si>
  <si>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</si>
  <si>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</si>
  <si>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</si>
  <si>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</si>
  <si>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</si>
  <si>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</si>
  <si>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</si>
  <si>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</si>
  <si>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</si>
  <si>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</si>
  <si>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</si>
  <si>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</si>
  <si>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</si>
  <si>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</si>
  <si>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</si>
  <si>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</si>
  <si>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</si>
  <si>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</si>
  <si>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</si>
  <si>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</si>
  <si>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</si>
  <si>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</si>
  <si>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</si>
  <si>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</si>
  <si>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</si>
  <si>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</si>
  <si>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</si>
  <si>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</si>
  <si>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</si>
  <si>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</si>
  <si>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</si>
  <si>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</si>
  <si>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</si>
  <si>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</si>
  <si>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</si>
  <si>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</si>
  <si>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</si>
  <si>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</si>
  <si>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</si>
  <si>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</si>
  <si>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</si>
  <si>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</si>
  <si>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</si>
  <si>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</si>
  <si>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</si>
  <si>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</si>
  <si>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</si>
  <si>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</si>
  <si>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</si>
  <si>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</si>
  <si>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</si>
  <si>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</si>
  <si>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</si>
  <si>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</si>
  <si>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</si>
  <si>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</si>
  <si>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</si>
  <si>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</si>
  <si>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</si>
  <si>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</si>
  <si>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</si>
  <si>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</si>
  <si>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</si>
  <si>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</si>
  <si>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</si>
  <si>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</si>
  <si>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</si>
  <si>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</si>
  <si>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</si>
  <si>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</si>
  <si>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</si>
  <si>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</si>
  <si>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</si>
  <si>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</si>
  <si>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</si>
  <si>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</si>
  <si>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</si>
  <si>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</si>
  <si>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</si>
  <si>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</si>
  <si>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</si>
  <si>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</si>
  <si>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</si>
  <si>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</si>
  <si>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</si>
  <si>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</si>
  <si>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</si>
  <si>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</si>
  <si>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</si>
  <si>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</si>
  <si>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</si>
  <si>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</si>
  <si>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</si>
  <si>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</si>
  <si>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</si>
  <si>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</si>
  <si>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</si>
  <si>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</si>
  <si>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</si>
  <si>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</si>
  <si>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</si>
  <si>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</si>
  <si>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</si>
  <si>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</si>
  <si>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</si>
  <si>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</si>
  <si>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</si>
  <si>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</si>
  <si>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</si>
  <si>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</si>
  <si>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</si>
  <si>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</si>
  <si>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</si>
  <si>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</si>
  <si>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</si>
  <si>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</si>
  <si>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</si>
  <si>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</si>
  <si>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</si>
  <si>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</si>
  <si>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</si>
  <si>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</si>
  <si>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</si>
  <si>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</si>
  <si>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</si>
  <si>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</si>
  <si>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</si>
  <si>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</si>
  <si>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</si>
  <si>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</si>
  <si>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</si>
  <si>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</si>
  <si>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</si>
  <si>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</si>
  <si>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</si>
  <si>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</si>
  <si>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</si>
  <si>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</si>
  <si>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</si>
  <si>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</si>
  <si>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</si>
  <si>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</si>
  <si>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</si>
  <si>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</si>
  <si>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</si>
  <si>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</si>
  <si>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</si>
  <si>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</si>
  <si>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</si>
  <si>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</si>
  <si>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</si>
  <si>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</si>
  <si>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</si>
  <si>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</si>
  <si>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</si>
  <si>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</si>
  <si>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</si>
  <si>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</si>
  <si>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</si>
  <si>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</si>
  <si>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</si>
  <si>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</si>
  <si>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</si>
  <si>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</si>
  <si>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</si>
  <si>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</si>
  <si>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</si>
  <si>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</si>
  <si>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</si>
  <si>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</si>
  <si>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</si>
  <si>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</si>
  <si>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</si>
  <si>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</si>
  <si>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</si>
  <si>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</si>
  <si>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</si>
  <si>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</si>
  <si>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</si>
  <si>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</si>
  <si>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</si>
  <si>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</si>
  <si>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</si>
  <si>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</si>
  <si>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</si>
  <si>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</si>
  <si>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</si>
  <si>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</si>
  <si>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</si>
  <si>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</si>
  <si>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</si>
  <si>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</si>
  <si>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</si>
  <si>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</si>
  <si>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</si>
  <si>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</si>
  <si>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</si>
  <si>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</si>
  <si>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</si>
  <si>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</si>
  <si>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</si>
  <si>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</si>
  <si>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</si>
  <si>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</si>
  <si>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</si>
  <si>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</si>
  <si>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</si>
  <si>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</si>
  <si>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</si>
  <si>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</si>
  <si>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</si>
  <si>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</si>
  <si>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</si>
  <si>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</si>
  <si>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</si>
  <si>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</si>
  <si>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</si>
  <si>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</si>
  <si>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</si>
  <si>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</si>
  <si>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</si>
  <si>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</si>
  <si>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</si>
  <si>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</si>
  <si>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</si>
  <si>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</si>
  <si>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</si>
  <si>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</si>
  <si>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</si>
  <si>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</si>
  <si>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</si>
  <si>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</si>
  <si>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</si>
  <si>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</si>
  <si>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</si>
  <si>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</si>
  <si>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</si>
  <si>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</si>
  <si>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</si>
  <si>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</si>
  <si>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</si>
  <si>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</si>
  <si>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</si>
  <si>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</si>
  <si>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</si>
  <si>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</si>
  <si>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</si>
  <si>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</si>
  <si>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</si>
  <si>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</si>
  <si>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</si>
  <si>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</si>
  <si>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</si>
  <si>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</si>
  <si>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</si>
  <si>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</si>
  <si>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</si>
  <si>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</si>
  <si>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</si>
  <si>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</si>
  <si>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</si>
  <si>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</si>
  <si>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</si>
  <si>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</si>
  <si>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</si>
  <si>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</si>
  <si>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</si>
  <si>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</si>
  <si>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</si>
  <si>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</si>
  <si>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</si>
  <si>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</si>
  <si>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</si>
  <si>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</si>
  <si>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</si>
  <si>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</si>
  <si>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</si>
  <si>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</si>
  <si>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</si>
  <si>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</si>
  <si>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</si>
  <si>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</si>
  <si>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</si>
  <si>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</si>
  <si>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</si>
  <si>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</si>
  <si>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</si>
  <si>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</si>
  <si>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</si>
  <si>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</si>
  <si>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</si>
  <si>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</si>
  <si>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</si>
  <si>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</si>
  <si>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</si>
  <si>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</si>
  <si>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</si>
  <si>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</si>
  <si>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</si>
  <si>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</si>
  <si>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</si>
  <si>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</si>
  <si>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</si>
  <si>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</si>
  <si>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</si>
  <si>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</si>
  <si>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</si>
  <si>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</si>
  <si>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</si>
  <si>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</si>
  <si>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</si>
  <si>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</si>
  <si>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</si>
  <si>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</si>
  <si>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</si>
  <si>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</si>
  <si>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</si>
  <si>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</si>
  <si>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</si>
  <si>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</si>
  <si>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</si>
  <si>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</si>
  <si>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</si>
  <si>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</si>
  <si>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</si>
  <si>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</si>
  <si>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</si>
  <si>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</si>
  <si>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</si>
  <si>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</si>
  <si>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</si>
  <si>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</si>
  <si>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</si>
  <si>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</si>
  <si>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</si>
  <si>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</si>
  <si>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</si>
  <si>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</si>
  <si>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</si>
  <si>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</si>
  <si>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</si>
  <si>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</si>
  <si>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</si>
  <si>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</si>
  <si>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</si>
  <si>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</si>
  <si>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</si>
  <si>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</si>
  <si>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</si>
  <si>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</si>
  <si>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</si>
  <si>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</si>
  <si>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</si>
  <si>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</si>
  <si>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</si>
  <si>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</si>
  <si>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</si>
  <si>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</si>
  <si>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</si>
  <si>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</si>
  <si>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</si>
  <si>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</si>
  <si>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</si>
  <si>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</si>
  <si>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</si>
  <si>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</si>
  <si>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</si>
  <si>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</si>
  <si>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</si>
  <si>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</si>
  <si>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</si>
  <si>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</si>
  <si>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</si>
  <si>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</si>
  <si>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</si>
  <si>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</si>
  <si>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</si>
  <si>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</si>
  <si>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</si>
  <si>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</si>
  <si>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</si>
  <si>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</si>
  <si>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</si>
  <si>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</si>
  <si>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</si>
  <si>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</si>
  <si>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</si>
  <si>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</si>
  <si>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</si>
  <si>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</si>
  <si>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</si>
  <si>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</si>
  <si>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</si>
  <si>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</si>
  <si>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</si>
  <si>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</si>
  <si>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</si>
  <si>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</si>
  <si>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</si>
  <si>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</si>
  <si>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</si>
  <si>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</si>
  <si>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</si>
  <si>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</si>
  <si>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</si>
  <si>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</si>
  <si>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N</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</si>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</sst>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dd/mm/yyyy"/>
    <numFmt numFmtId="166" formatCode="0.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3" fontId="0" fillId="0" borderId="0" xfId="0" applyNumberFormat="1"/>
  </cellXfs>
  <cellStyles count="2">
    <cellStyle name="Currency" xfId="1" builtinId="4"/>
    <cellStyle name="Normal" xfId="0" builtinId="0"/>
  </cellStyles>
  <dxfs count="21">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3" formatCode="#,##0"/>
    </dxf>
    <dxf>
      <numFmt numFmtId="3" formatCode="#,##0"/>
    </dxf>
    <dxf>
      <numFmt numFmtId="3" formatCode="#,##0"/>
    </dxf>
    <dxf>
      <font>
        <b val="0"/>
        <i val="0"/>
        <sz val="10"/>
        <color theme="0"/>
        <name val="Calibri"/>
        <family val="2"/>
        <scheme val="minor"/>
      </font>
    </dxf>
    <dxf>
      <font>
        <b val="0"/>
        <i val="0"/>
        <sz val="10"/>
        <color rgb="FFFF0000"/>
        <name val="Calibri Light"/>
        <family val="2"/>
        <scheme val="major"/>
      </font>
      <fill>
        <patternFill patternType="solid">
          <fgColor theme="0"/>
          <bgColor rgb="FF4C216D"/>
        </patternFill>
      </fill>
      <border>
        <left style="thin">
          <color rgb="FF7030A0"/>
        </left>
        <right style="thin">
          <color rgb="FF7030A0"/>
        </right>
        <top style="thin">
          <color rgb="FF7030A0"/>
        </top>
        <bottom style="thin">
          <color rgb="FF7030A0"/>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fgColor rgb="FF532476"/>
        </patternFill>
      </fill>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10"/>
        <color rgb="FF532476"/>
        <name val="Calibri Light"/>
        <family val="2"/>
        <scheme val="major"/>
      </font>
      <fill>
        <patternFill>
          <fgColor rgb="FF532476"/>
          <bgColor rgb="FF532476"/>
        </patternFill>
      </fill>
      <border>
        <left style="thin">
          <color theme="0" tint="-4.9989318521683403E-2"/>
        </left>
        <right style="thin">
          <color theme="0" tint="-4.9989318521683403E-2"/>
        </right>
        <top style="thin">
          <color theme="0" tint="-4.9989318521683403E-2"/>
        </top>
        <bottom style="thin">
          <color theme="0" tint="-4.9989318521683403E-2"/>
        </bottom>
      </border>
    </dxf>
  </dxfs>
  <tableStyles count="3" defaultTableStyle="TableStyleMedium2" defaultPivotStyle="PivotStyleMedium9">
    <tableStyle name="Purple Silcer" pivot="0" table="0" count="5" xr9:uid="{2FE8E9AE-0D75-4E25-A212-C480AC1275B4}">
      <tableStyleElement type="wholeTable" dxfId="20"/>
      <tableStyleElement type="headerRow" dxfId="19"/>
    </tableStyle>
    <tableStyle name="Timeline Style 1" pivot="0" table="0" count="8" xr9:uid="{AED73C74-70F2-42D1-A65A-C3AFEB589D30}">
      <tableStyleElement type="wholeTable" dxfId="18"/>
      <tableStyleElement type="headerRow" dxfId="17"/>
    </tableStyle>
    <tableStyle name="Timeline Style 2" pivot="0" table="0" count="8" xr9:uid="{9694F371-C70A-4E43-94F9-D4B53B5B9896}">
      <tableStyleElement type="wholeTable" dxfId="16"/>
      <tableStyleElement type="headerRow" dxfId="15"/>
    </tableStyle>
  </tableStyles>
  <colors>
    <mruColors>
      <color rgb="FF532476"/>
      <color rgb="FFFF3300"/>
      <color rgb="FF4C216D"/>
      <color rgb="FF5D2884"/>
      <color rgb="FFBD92DE"/>
      <color rgb="FF9954CC"/>
      <color rgb="FFD6BCEA"/>
      <color rgb="FFD5B8EA"/>
    </mruColors>
  </colors>
  <extLst>
    <ext xmlns:x14="http://schemas.microsoft.com/office/spreadsheetml/2009/9/main" uri="{46F421CA-312F-682f-3DD2-61675219B42D}">
      <x14:dxfs count="3">
        <dxf>
          <font>
            <b val="0"/>
            <i val="0"/>
            <sz val="8"/>
            <name val="Calibri Light"/>
            <family val="2"/>
            <scheme val="major"/>
          </font>
          <fill>
            <patternFill>
              <fgColor rgb="FFD6BCEA"/>
            </patternFill>
          </fill>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8"/>
            <color theme="0"/>
            <name val="Calibri Light"/>
            <family val="2"/>
            <scheme val="major"/>
          </font>
          <fill>
            <gradientFill degree="90">
              <stop position="0">
                <color theme="0"/>
              </stop>
              <stop position="1">
                <color rgb="FF9954CC"/>
              </stop>
            </gradientFill>
          </fill>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8"/>
            <color theme="0"/>
            <name val="Calibri Light"/>
            <family val="2"/>
            <scheme val="major"/>
          </font>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Purple Silcer">
        <x14:slicerStyle name="Purple Sil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0"/>
            </patternFill>
          </fill>
        </dxf>
        <dxf>
          <fill>
            <patternFill patternType="solid">
              <fgColor theme="0"/>
              <bgColor rgb="FFD5B8EA"/>
            </patternFill>
          </fill>
          <border>
            <left style="thin">
              <color rgb="FFD6BCEA"/>
            </left>
            <right style="thin">
              <color rgb="FFD6BCEA"/>
            </right>
            <top style="thin">
              <color rgb="FFD6BCEA"/>
            </top>
            <bottom style="thin">
              <color rgb="FFD6BCEA"/>
            </bottom>
          </border>
        </dxf>
        <dxf>
          <font>
            <b val="0"/>
            <i val="0"/>
            <sz val="9"/>
            <color theme="0"/>
            <name val="Calibri"/>
            <family val="2"/>
            <scheme val="minor"/>
          </font>
        </dxf>
        <dxf>
          <font>
            <b val="0"/>
            <i val="0"/>
            <sz val="9"/>
            <color theme="0"/>
            <name val="Calibri Light"/>
            <family val="2"/>
            <scheme val="major"/>
          </font>
        </dxf>
        <dxf>
          <font>
            <b val="0"/>
            <i val="0"/>
            <sz val="9"/>
            <color theme="0"/>
            <name val="Calibri"/>
            <family val="2"/>
            <scheme val="minor"/>
          </font>
        </dxf>
        <dxf>
          <font>
            <b val="0"/>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[Dashboard_coffeeOrdersData.xlsx]TotalSales!TotalSales</c:name>
    <c:fmtId val="12"/>
  </c:pivotSource>
  <c:chart>
    <c:title>
      <c:tx>
        <c:rich>
          <a:bodyPr rot="0" spcFirstLastPara="1" vertOverflow="ellipsis" vert="horz" wrap="square" anchor="ctr" anchorCtr="1"/>
          <a:lstStyle/>
          <a:p>
            <a:pPr>
              <a:defRPr sz="1400" b="1" i="0" u="none" strike="noStrike" kern="1200" spc="0" baseline="0">
                <a:solidFill>
                  <a:srgbClr val="532476"/>
                </a:solidFill>
                <a:latin typeface="+mn-lt"/>
                <a:ea typeface="+mn-ea"/>
                <a:cs typeface="+mn-cs"/>
              </a:defRPr>
            </a:pPr>
            <a:r>
              <a:rPr lang="it-IT" b="1">
                <a:solidFill>
                  <a:srgbClr val="532476"/>
                </a:solidFill>
              </a:rPr>
              <a:t>Total</a:t>
            </a:r>
            <a:r>
              <a:rPr lang="it-IT" b="1" baseline="0">
                <a:solidFill>
                  <a:srgbClr val="532476"/>
                </a:solidFill>
              </a:rPr>
              <a:t> Sales Over Time</a:t>
            </a:r>
            <a:endParaRPr lang="it-IT" b="1">
              <a:solidFill>
                <a:srgbClr val="532476"/>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532476"/>
              </a:solidFill>
              <a:latin typeface="+mn-lt"/>
              <a:ea typeface="+mn-ea"/>
              <a:cs typeface="+mn-cs"/>
            </a:defRPr>
          </a:pPr>
          <a:endParaRPr lang="it-IT"/>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5B6-40B5-9824-43A011F85813}"/>
            </c:ext>
          </c:extLst>
        </c:ser>
        <c:ser>
          <c:idx val="1"/>
          <c:order val="1"/>
          <c:tx>
            <c:strRef>
              <c:f>TotalSales!$D$3:$D$4</c:f>
              <c:strCache>
                <c:ptCount val="1"/>
                <c:pt idx="0">
                  <c:v>Excelsa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5B6-40B5-9824-43A011F8581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5B6-40B5-9824-43A011F85813}"/>
            </c:ext>
          </c:extLst>
        </c:ser>
        <c:ser>
          <c:idx val="3"/>
          <c:order val="3"/>
          <c:tx>
            <c:strRef>
              <c:f>TotalSales!$F$3:$F$4</c:f>
              <c:strCache>
                <c:ptCount val="1"/>
                <c:pt idx="0">
                  <c:v>Robusta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5B6-40B5-9824-43A011F85813}"/>
            </c:ext>
          </c:extLst>
        </c:ser>
        <c:dLbls>
          <c:showLegendKey val="0"/>
          <c:showVal val="0"/>
          <c:showCatName val="0"/>
          <c:showSerName val="0"/>
          <c:showPercent val="0"/>
          <c:showBubbleSize val="0"/>
        </c:dLbls>
        <c:smooth val="0"/>
        <c:axId val="1191738560"/>
        <c:axId val="1191755360"/>
      </c:lineChart>
      <c:catAx>
        <c:axId val="119173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532476"/>
                </a:solidFill>
                <a:latin typeface="+mn-lt"/>
                <a:ea typeface="+mn-ea"/>
                <a:cs typeface="+mn-cs"/>
              </a:defRPr>
            </a:pPr>
            <a:endParaRPr lang="it-IT"/>
          </a:p>
        </c:txPr>
        <c:crossAx val="1191755360"/>
        <c:crosses val="autoZero"/>
        <c:auto val="1"/>
        <c:lblAlgn val="ctr"/>
        <c:lblOffset val="100"/>
        <c:noMultiLvlLbl val="0"/>
      </c:catAx>
      <c:valAx>
        <c:axId val="119175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it-IT" b="1">
                    <a:solidFill>
                      <a:srgbClr val="7030A0"/>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532476"/>
                </a:solidFill>
                <a:latin typeface="+mn-lt"/>
                <a:ea typeface="+mn-ea"/>
                <a:cs typeface="+mn-cs"/>
              </a:defRPr>
            </a:pPr>
            <a:endParaRPr lang="it-IT"/>
          </a:p>
        </c:txPr>
        <c:crossAx val="119173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BCEA"/>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[Dashboard_coffeeOrdersData.xlsx]CountryBarChart!TotalSales</c:name>
    <c:fmtId val="19"/>
  </c:pivotSource>
  <c:chart>
    <c:title>
      <c:tx>
        <c:rich>
          <a:bodyPr rot="0" spcFirstLastPara="1" vertOverflow="ellipsis" vert="horz" wrap="square" anchor="ctr" anchorCtr="1"/>
          <a:lstStyle/>
          <a:p>
            <a:pPr>
              <a:defRPr sz="1400" b="0" i="0" u="none" strike="noStrike" kern="1200" spc="0" baseline="0">
                <a:solidFill>
                  <a:srgbClr val="532476"/>
                </a:solidFill>
                <a:latin typeface="+mn-lt"/>
                <a:ea typeface="+mn-ea"/>
                <a:cs typeface="+mn-cs"/>
              </a:defRPr>
            </a:pPr>
            <a:r>
              <a:rPr lang="en-US">
                <a:solidFill>
                  <a:srgbClr val="532476"/>
                </a:solidFill>
              </a:rPr>
              <a:t>Sales By </a:t>
            </a:r>
            <a:r>
              <a:rPr lang="it-IT">
                <a:solidFill>
                  <a:srgbClr val="532476"/>
                </a:solidFill>
              </a:rPr>
              <a:t>Country</a:t>
            </a:r>
            <a:endParaRPr lang="en-US">
              <a:solidFill>
                <a:srgbClr val="53247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32476"/>
              </a:solidFill>
              <a:latin typeface="+mn-lt"/>
              <a:ea typeface="+mn-ea"/>
              <a:cs typeface="+mn-cs"/>
            </a:defRPr>
          </a:pPr>
          <a:endParaRPr lang="en-US"/>
        </a:p>
      </c:txPr>
    </c:title>
    <c:autoTitleDeleted val="0"/>
    <c:pivotFmts>
      <c:pivotFmt>
        <c:idx val="0"/>
        <c:spPr>
          <a:solidFill>
            <a:srgbClr val="FFC000"/>
          </a:solidFill>
          <a:ln w="9525">
            <a:solidFill>
              <a:schemeClr val="bg1">
                <a:lumMod val="95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w="9525">
            <a:solidFill>
              <a:schemeClr val="bg1">
                <a:lumMod val="95000"/>
              </a:schemeClr>
            </a:solidFill>
          </a:ln>
          <a:effectLst/>
        </c:spPr>
      </c:pivotFmt>
      <c:pivotFmt>
        <c:idx val="2"/>
        <c:spPr>
          <a:solidFill>
            <a:srgbClr val="92D050"/>
          </a:solidFill>
          <a:ln w="9525">
            <a:solidFill>
              <a:schemeClr val="bg1">
                <a:lumMod val="95000"/>
              </a:schemeClr>
            </a:solidFill>
          </a:ln>
          <a:effectLst/>
        </c:spPr>
      </c:pivotFmt>
      <c:pivotFmt>
        <c:idx val="3"/>
        <c:spPr>
          <a:solidFill>
            <a:srgbClr val="FFC000"/>
          </a:solidFill>
          <a:ln w="9525">
            <a:solidFill>
              <a:schemeClr val="bg1">
                <a:lumMod val="95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9525">
            <a:solidFill>
              <a:schemeClr val="bg1">
                <a:lumMod val="95000"/>
              </a:schemeClr>
            </a:solidFill>
          </a:ln>
          <a:effectLst/>
        </c:spPr>
      </c:pivotFmt>
      <c:pivotFmt>
        <c:idx val="5"/>
        <c:spPr>
          <a:solidFill>
            <a:srgbClr val="00B0F0"/>
          </a:solidFill>
          <a:ln w="9525">
            <a:solidFill>
              <a:schemeClr val="bg1">
                <a:lumMod val="95000"/>
              </a:schemeClr>
            </a:solidFill>
          </a:ln>
          <a:effectLst/>
        </c:spPr>
      </c:pivotFmt>
      <c:pivotFmt>
        <c:idx val="6"/>
        <c:spPr>
          <a:solidFill>
            <a:srgbClr val="FFC000"/>
          </a:solidFill>
          <a:ln w="9525">
            <a:solidFill>
              <a:schemeClr val="bg1">
                <a:lumMod val="95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9525">
            <a:solidFill>
              <a:schemeClr val="bg1">
                <a:lumMod val="95000"/>
              </a:schemeClr>
            </a:solidFill>
          </a:ln>
          <a:effectLst/>
        </c:spPr>
      </c:pivotFmt>
      <c:pivotFmt>
        <c:idx val="8"/>
        <c:spPr>
          <a:solidFill>
            <a:srgbClr val="00B0F0"/>
          </a:solidFill>
          <a:ln w="9525">
            <a:solidFill>
              <a:schemeClr val="bg1">
                <a:lumMod val="95000"/>
              </a:schemeClr>
            </a:solidFill>
          </a:ln>
          <a:effectLst/>
        </c:spPr>
      </c:pivotFmt>
      <c:pivotFmt>
        <c:idx val="9"/>
        <c:spPr>
          <a:solidFill>
            <a:srgbClr val="FF3300"/>
          </a:solidFill>
          <a:ln w="9525">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FFC000"/>
            </a:solidFill>
            <a:ln w="9525">
              <a:solidFill>
                <a:schemeClr val="bg1">
                  <a:lumMod val="95000"/>
                </a:schemeClr>
              </a:solidFill>
            </a:ln>
            <a:effectLst/>
          </c:spPr>
          <c:invertIfNegative val="0"/>
          <c:dPt>
            <c:idx val="0"/>
            <c:invertIfNegative val="0"/>
            <c:bubble3D val="0"/>
            <c:spPr>
              <a:solidFill>
                <a:srgbClr val="92D050"/>
              </a:solidFill>
              <a:ln w="9525">
                <a:solidFill>
                  <a:schemeClr val="bg1">
                    <a:lumMod val="95000"/>
                  </a:schemeClr>
                </a:solidFill>
              </a:ln>
              <a:effectLst/>
            </c:spPr>
            <c:extLst>
              <c:ext xmlns:c16="http://schemas.microsoft.com/office/drawing/2014/chart" uri="{C3380CC4-5D6E-409C-BE32-E72D297353CC}">
                <c16:uniqueId val="{00000001-5C81-45B3-A2E3-9BCC43A0D7D8}"/>
              </c:ext>
            </c:extLst>
          </c:dPt>
          <c:dPt>
            <c:idx val="1"/>
            <c:invertIfNegative val="0"/>
            <c:bubble3D val="0"/>
            <c:spPr>
              <a:solidFill>
                <a:srgbClr val="00B0F0"/>
              </a:solidFill>
              <a:ln w="9525">
                <a:solidFill>
                  <a:schemeClr val="bg1">
                    <a:lumMod val="95000"/>
                  </a:schemeClr>
                </a:solidFill>
              </a:ln>
              <a:effectLst/>
            </c:spPr>
            <c:extLst>
              <c:ext xmlns:c16="http://schemas.microsoft.com/office/drawing/2014/chart" uri="{C3380CC4-5D6E-409C-BE32-E72D297353CC}">
                <c16:uniqueId val="{00000003-5C81-45B3-A2E3-9BCC43A0D7D8}"/>
              </c:ext>
            </c:extLst>
          </c:dPt>
          <c:dPt>
            <c:idx val="2"/>
            <c:invertIfNegative val="0"/>
            <c:bubble3D val="0"/>
            <c:spPr>
              <a:solidFill>
                <a:srgbClr val="FF3300"/>
              </a:solidFill>
              <a:ln w="9525">
                <a:solidFill>
                  <a:schemeClr val="bg1">
                    <a:lumMod val="95000"/>
                  </a:schemeClr>
                </a:solidFill>
              </a:ln>
              <a:effectLst/>
            </c:spPr>
            <c:extLst>
              <c:ext xmlns:c16="http://schemas.microsoft.com/office/drawing/2014/chart" uri="{C3380CC4-5D6E-409C-BE32-E72D297353CC}">
                <c16:uniqueId val="{00000005-5C81-45B3-A2E3-9BCC43A0D7D8}"/>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5C81-45B3-A2E3-9BCC43A0D7D8}"/>
            </c:ext>
          </c:extLst>
        </c:ser>
        <c:dLbls>
          <c:dLblPos val="outEnd"/>
          <c:showLegendKey val="0"/>
          <c:showVal val="1"/>
          <c:showCatName val="0"/>
          <c:showSerName val="0"/>
          <c:showPercent val="0"/>
          <c:showBubbleSize val="0"/>
        </c:dLbls>
        <c:gapWidth val="182"/>
        <c:axId val="335415072"/>
        <c:axId val="335414592"/>
      </c:barChart>
      <c:catAx>
        <c:axId val="33541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D2884"/>
                </a:solidFill>
                <a:latin typeface="+mn-lt"/>
                <a:ea typeface="+mn-ea"/>
                <a:cs typeface="+mn-cs"/>
              </a:defRPr>
            </a:pPr>
            <a:endParaRPr lang="it-IT"/>
          </a:p>
        </c:txPr>
        <c:crossAx val="335414592"/>
        <c:crosses val="autoZero"/>
        <c:auto val="1"/>
        <c:lblAlgn val="ctr"/>
        <c:lblOffset val="100"/>
        <c:noMultiLvlLbl val="0"/>
      </c:catAx>
      <c:valAx>
        <c:axId val="3354145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4C216D"/>
                </a:solidFill>
                <a:latin typeface="+mn-lt"/>
                <a:ea typeface="+mn-ea"/>
                <a:cs typeface="+mn-cs"/>
              </a:defRPr>
            </a:pPr>
            <a:endParaRPr lang="it-IT"/>
          </a:p>
        </c:txPr>
        <c:crossAx val="33541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92DE"/>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[Dashboard_coffeeOrdersData.xlsx]TotFiveCostumers!TotalSales</c:name>
    <c:fmtId val="20"/>
  </c:pivotSource>
  <c:chart>
    <c:title>
      <c:tx>
        <c:rich>
          <a:bodyPr rot="0" spcFirstLastPara="1" vertOverflow="ellipsis" vert="horz" wrap="square" anchor="ctr" anchorCtr="1"/>
          <a:lstStyle/>
          <a:p>
            <a:pPr>
              <a:defRPr sz="1400" b="0" i="0" u="none" strike="noStrike" kern="1200" spc="0" baseline="0">
                <a:solidFill>
                  <a:srgbClr val="532476"/>
                </a:solidFill>
                <a:latin typeface="+mn-lt"/>
                <a:ea typeface="+mn-ea"/>
                <a:cs typeface="+mn-cs"/>
              </a:defRPr>
            </a:pPr>
            <a:r>
              <a:rPr lang="it-IT">
                <a:solidFill>
                  <a:srgbClr val="532476"/>
                </a:solidFill>
              </a:rPr>
              <a:t>Top Five Costumers</a:t>
            </a:r>
            <a:endParaRPr lang="en-US">
              <a:solidFill>
                <a:srgbClr val="53247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32476"/>
              </a:solidFill>
              <a:latin typeface="+mn-lt"/>
              <a:ea typeface="+mn-ea"/>
              <a:cs typeface="+mn-cs"/>
            </a:defRPr>
          </a:pPr>
          <a:endParaRPr lang="en-US"/>
        </a:p>
      </c:txPr>
    </c:title>
    <c:autoTitleDeleted val="0"/>
    <c:pivotFmts>
      <c:pivotFmt>
        <c:idx val="0"/>
        <c:spPr>
          <a:solidFill>
            <a:srgbClr val="FFC000"/>
          </a:solidFill>
          <a:ln w="9525">
            <a:solidFill>
              <a:schemeClr val="bg1">
                <a:lumMod val="95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w="9525">
            <a:solidFill>
              <a:schemeClr val="bg1">
                <a:lumMod val="95000"/>
              </a:schemeClr>
            </a:solidFill>
          </a:ln>
          <a:effectLst/>
        </c:spPr>
      </c:pivotFmt>
      <c:pivotFmt>
        <c:idx val="2"/>
        <c:spPr>
          <a:solidFill>
            <a:srgbClr val="92D050"/>
          </a:solidFill>
          <a:ln w="9525">
            <a:solidFill>
              <a:schemeClr val="bg1">
                <a:lumMod val="95000"/>
              </a:schemeClr>
            </a:solidFill>
          </a:ln>
          <a:effectLst/>
        </c:spPr>
      </c:pivotFmt>
      <c:pivotFmt>
        <c:idx val="3"/>
        <c:spPr>
          <a:solidFill>
            <a:srgbClr val="FFC000"/>
          </a:solidFill>
          <a:ln w="9525">
            <a:solidFill>
              <a:schemeClr val="bg1">
                <a:lumMod val="95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w="9525">
            <a:solidFill>
              <a:schemeClr val="bg1">
                <a:lumMod val="95000"/>
              </a:schemeClr>
            </a:solidFill>
          </a:ln>
          <a:effectLst/>
        </c:spPr>
      </c:pivotFmt>
      <c:pivotFmt>
        <c:idx val="5"/>
        <c:spPr>
          <a:solidFill>
            <a:srgbClr val="00B0F0"/>
          </a:solidFill>
          <a:ln w="9525">
            <a:solidFill>
              <a:schemeClr val="bg1">
                <a:lumMod val="95000"/>
              </a:schemeClr>
            </a:solidFill>
          </a:ln>
          <a:effectLst/>
        </c:spPr>
      </c:pivotFmt>
      <c:pivotFmt>
        <c:idx val="6"/>
        <c:spPr>
          <a:solidFill>
            <a:srgbClr val="FFC000"/>
          </a:solidFill>
          <a:ln w="9525">
            <a:solidFill>
              <a:schemeClr val="bg1">
                <a:lumMod val="95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9525">
            <a:solidFill>
              <a:schemeClr val="bg1">
                <a:lumMod val="95000"/>
              </a:schemeClr>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TotFiveCostumers!$B$3</c:f>
              <c:strCache>
                <c:ptCount val="1"/>
                <c:pt idx="0">
                  <c:v>Total</c:v>
                </c:pt>
              </c:strCache>
            </c:strRef>
          </c:tx>
          <c:spPr>
            <a:solidFill>
              <a:srgbClr val="FFC000"/>
            </a:solidFill>
            <a:ln w="9525">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2CB1-4D0C-B77C-83F5A7396746}"/>
              </c:ext>
            </c:extLst>
          </c:dPt>
          <c:dPt>
            <c:idx val="1"/>
            <c:invertIfNegative val="0"/>
            <c:bubble3D val="0"/>
            <c:extLst>
              <c:ext xmlns:c16="http://schemas.microsoft.com/office/drawing/2014/chart" uri="{C3380CC4-5D6E-409C-BE32-E72D297353CC}">
                <c16:uniqueId val="{00000001-2CB1-4D0C-B77C-83F5A7396746}"/>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TotFiveCostumers!$A$4:$A$8</c:f>
              <c:strCache>
                <c:ptCount val="5"/>
                <c:pt idx="0">
                  <c:v>Don Flintiff</c:v>
                </c:pt>
                <c:pt idx="1">
                  <c:v>Nealson Cuttler</c:v>
                </c:pt>
                <c:pt idx="2">
                  <c:v>Terri Farra</c:v>
                </c:pt>
                <c:pt idx="3">
                  <c:v>Brenn Dundredge</c:v>
                </c:pt>
                <c:pt idx="4">
                  <c:v>Allis Wilmore</c:v>
                </c:pt>
              </c:strCache>
            </c:strRef>
          </c:cat>
          <c:val>
            <c:numRef>
              <c:f>TotFiveCostumers!$B$4:$B$8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2CB1-4D0C-B77C-83F5A7396746}"/>
            </c:ext>
          </c:extLst>
        </c:ser>
        <c:dLbls>
          <c:dLblPos val="outEnd"/>
          <c:showLegendKey val="0"/>
          <c:showVal val="1"/>
          <c:showCatName val="0"/>
          <c:showSerName val="0"/>
          <c:showPercent val="0"/>
          <c:showBubbleSize val="0"/>
        </c:dLbls>
        <c:gapWidth val="182"/>
        <c:axId val="335415072"/>
        <c:axId val="335414592"/>
      </c:barChart>
      <c:catAx>
        <c:axId val="33541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5D2884"/>
                </a:solidFill>
                <a:latin typeface="+mn-lt"/>
                <a:ea typeface="+mn-ea"/>
                <a:cs typeface="+mn-cs"/>
              </a:defRPr>
            </a:pPr>
            <a:endParaRPr lang="it-IT"/>
          </a:p>
        </c:txPr>
        <c:crossAx val="335414592"/>
        <c:crosses val="autoZero"/>
        <c:auto val="1"/>
        <c:lblAlgn val="ctr"/>
        <c:lblOffset val="100"/>
        <c:noMultiLvlLbl val="0"/>
      </c:catAx>
      <c:valAx>
        <c:axId val="3354145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4C216D"/>
                </a:solidFill>
                <a:latin typeface="+mn-lt"/>
                <a:ea typeface="+mn-ea"/>
                <a:cs typeface="+mn-cs"/>
              </a:defRPr>
            </a:pPr>
            <a:endParaRPr lang="it-IT"/>
          </a:p>
        </c:txPr>
        <c:crossAx val="33541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D92DE"/>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0</xdr:rowOff>
    </xdr:from>
    <xdr:to>
      <xdr:col>26</xdr:col>
      <xdr:colOff>0</xdr:colOff>
      <xdr:row>5</xdr:row>
      <xdr:rowOff>0</xdr:rowOff>
    </xdr:to>
    <xdr:sp macro="" textlink="">
      <xdr:nvSpPr>
        <xdr:cNvPr id="4" name="Rectangle: Rounded Corners 3">
          <a:extLst>
            <a:ext uri="{FF2B5EF4-FFF2-40B4-BE49-F238E27FC236}">
              <a16:creationId xmlns:a16="http://schemas.microsoft.com/office/drawing/2014/main" id="{94B2BD53-C790-5BB3-F141-99C83A9D031F}"/>
            </a:ext>
          </a:extLst>
        </xdr:cNvPr>
        <xdr:cNvSpPr/>
      </xdr:nvSpPr>
      <xdr:spPr>
        <a:xfrm>
          <a:off x="123857" y="64576"/>
          <a:ext cx="15167804" cy="723255"/>
        </a:xfrm>
        <a:prstGeom prst="roundRect">
          <a:avLst/>
        </a:prstGeom>
        <a:solidFill>
          <a:srgbClr val="4C21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4400"/>
            <a:t>COFFE SALES</a:t>
          </a:r>
          <a:r>
            <a:rPr lang="it-IT" sz="4400" baseline="0"/>
            <a:t> DASHBOARD</a:t>
          </a:r>
          <a:endParaRPr lang="it-IT" sz="4400"/>
        </a:p>
      </xdr:txBody>
    </xdr:sp>
    <xdr:clientData/>
  </xdr:twoCellAnchor>
  <xdr:twoCellAnchor>
    <xdr:from>
      <xdr:col>1</xdr:col>
      <xdr:colOff>0</xdr:colOff>
      <xdr:row>15</xdr:row>
      <xdr:rowOff>0</xdr:rowOff>
    </xdr:from>
    <xdr:to>
      <xdr:col>17</xdr:col>
      <xdr:colOff>0</xdr:colOff>
      <xdr:row>44</xdr:row>
      <xdr:rowOff>0</xdr:rowOff>
    </xdr:to>
    <xdr:graphicFrame macro="">
      <xdr:nvGraphicFramePr>
        <xdr:cNvPr id="5" name="Chart 4">
          <a:extLst>
            <a:ext uri="{FF2B5EF4-FFF2-40B4-BE49-F238E27FC236}">
              <a16:creationId xmlns:a16="http://schemas.microsoft.com/office/drawing/2014/main" id="{20534EF2-0BD7-4F67-B2AD-7CD139E07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112060</xdr:rowOff>
    </xdr:from>
    <xdr:to>
      <xdr:col>16</xdr:col>
      <xdr:colOff>603724</xdr:colOff>
      <xdr:row>14</xdr:row>
      <xdr:rowOff>67235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08F4DA9A-F862-4F73-A56E-9BDD9DC91ED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063" y="885966"/>
              <a:ext cx="9712005" cy="1562519"/>
            </a:xfrm>
            <a:prstGeom prst="rect">
              <a:avLst/>
            </a:prstGeom>
            <a:solidFill>
              <a:prstClr val="white"/>
            </a:solidFill>
            <a:ln w="1">
              <a:solidFill>
                <a:prstClr val="green"/>
              </a:solidFill>
            </a:ln>
          </xdr:spPr>
          <xdr:txBody>
            <a:bodyPr vertOverflow="clip" horzOverflow="clip"/>
            <a:lstStyle/>
            <a:p>
              <a:r>
                <a:rPr lang="it-IT" sz="1100"/>
                <a:t>Timeline: Works in Excel 2013 or higher. Do not move or resize.</a:t>
              </a:r>
            </a:p>
          </xdr:txBody>
        </xdr:sp>
      </mc:Fallback>
    </mc:AlternateContent>
    <xdr:clientData/>
  </xdr:twoCellAnchor>
  <xdr:twoCellAnchor editAs="oneCell">
    <xdr:from>
      <xdr:col>17</xdr:col>
      <xdr:colOff>119061</xdr:colOff>
      <xdr:row>9</xdr:row>
      <xdr:rowOff>83342</xdr:rowOff>
    </xdr:from>
    <xdr:to>
      <xdr:col>22</xdr:col>
      <xdr:colOff>201</xdr:colOff>
      <xdr:row>14</xdr:row>
      <xdr:rowOff>93673</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56B794AC-32DC-4C6B-8A07-146BB408E8A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953624" y="1571623"/>
              <a:ext cx="2429077" cy="90330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5</xdr:row>
      <xdr:rowOff>113111</xdr:rowOff>
    </xdr:from>
    <xdr:to>
      <xdr:col>26</xdr:col>
      <xdr:colOff>0</xdr:colOff>
      <xdr:row>9</xdr:row>
      <xdr:rowOff>30012</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031F6478-113D-4173-B55B-8993876C608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953625" y="887017"/>
              <a:ext cx="4857750" cy="631276"/>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9</xdr:row>
      <xdr:rowOff>83426</xdr:rowOff>
    </xdr:from>
    <xdr:to>
      <xdr:col>26</xdr:col>
      <xdr:colOff>0</xdr:colOff>
      <xdr:row>14</xdr:row>
      <xdr:rowOff>90178</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79622D66-DC14-4108-86F7-EA4E24DCFEB1}"/>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382500" y="1571707"/>
              <a:ext cx="2428875" cy="899721"/>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15</xdr:row>
      <xdr:rowOff>0</xdr:rowOff>
    </xdr:from>
    <xdr:to>
      <xdr:col>26</xdr:col>
      <xdr:colOff>0</xdr:colOff>
      <xdr:row>29</xdr:row>
      <xdr:rowOff>0</xdr:rowOff>
    </xdr:to>
    <xdr:graphicFrame macro="">
      <xdr:nvGraphicFramePr>
        <xdr:cNvPr id="10" name="Chart 9">
          <a:extLst>
            <a:ext uri="{FF2B5EF4-FFF2-40B4-BE49-F238E27FC236}">
              <a16:creationId xmlns:a16="http://schemas.microsoft.com/office/drawing/2014/main" id="{D1B227AF-C5C6-497C-8D3B-ABCA2F78F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30</xdr:row>
      <xdr:rowOff>0</xdr:rowOff>
    </xdr:from>
    <xdr:to>
      <xdr:col>26</xdr:col>
      <xdr:colOff>0</xdr:colOff>
      <xdr:row>44</xdr:row>
      <xdr:rowOff>0</xdr:rowOff>
    </xdr:to>
    <xdr:graphicFrame macro="">
      <xdr:nvGraphicFramePr>
        <xdr:cNvPr id="11" name="Chart 10">
          <a:extLst>
            <a:ext uri="{FF2B5EF4-FFF2-40B4-BE49-F238E27FC236}">
              <a16:creationId xmlns:a16="http://schemas.microsoft.com/office/drawing/2014/main" id="{36B6BC70-A4D9-470A-8180-F4EA14D54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6.898110069444" createdVersion="8" refreshedVersion="8" minRefreshableVersion="3" recordCount="1000" xr:uid="{86039FEB-8EC9-4144-9535-E8EC1B7ED487}">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N"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iddle"/>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94920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7B578-BADD-4968-AAEE-E7F183BC674D}"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
  </dataFields>
  <formats count="1">
    <format dxfId="14">
      <pivotArea outline="0" collapsedLevelsAreSubtotals="1" fieldPosition="0"/>
    </format>
  </formats>
  <chartFormats count="4">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94B97-8857-44EA-86B0-2E0B39CFE24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3"/>
  </dataFields>
  <formats count="1">
    <format dxfId="13">
      <pivotArea outline="0" collapsedLevelsAreSubtotals="1" fieldPosition="0"/>
    </format>
  </formats>
  <chartFormats count="4">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0"/>
          </reference>
        </references>
      </pivotArea>
    </chartFormat>
    <chartFormat chart="19"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3827C9-CB3D-4CCD-8F3B-D26213EB455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3"/>
  </dataFields>
  <formats count="1">
    <format dxfId="12">
      <pivotArea outline="0" collapsedLevelsAreSubtotals="1" fieldPosition="0"/>
    </format>
  </formats>
  <chartFormats count="3">
    <chartFormat chart="10" format="8"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8F4B120-44F7-44DD-BC86-BE46272F2C2F}" sourceName="Size">
  <pivotTables>
    <pivotTable tabId="18" name="TotalSales"/>
    <pivotTable tabId="19" name="TotalSales"/>
    <pivotTable tabId="21" name="TotalSales"/>
  </pivotTables>
  <data>
    <tabular pivotCacheId="29492011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6724DBB-FFF8-4B2B-A8D0-1D376584AFA3}" sourceName="Roast Type Name">
  <pivotTables>
    <pivotTable tabId="18" name="TotalSales"/>
    <pivotTable tabId="19" name="TotalSales"/>
    <pivotTable tabId="21" name="TotalSales"/>
  </pivotTables>
  <data>
    <tabular pivotCacheId="29492011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62991EC-77C6-4BF4-8CC3-E7FB4538DC10}" sourceName="Loyalty Card">
  <pivotTables>
    <pivotTable tabId="18" name="TotalSales"/>
    <pivotTable tabId="19" name="TotalSales"/>
    <pivotTable tabId="21" name="TotalSales"/>
  </pivotTables>
  <data>
    <tabular pivotCacheId="29492011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46ECBD6-4E6F-44B9-A030-19DD2DEC7A58}" cache="Slicer_Size" caption="Size" columnCount="2" rowHeight="234950"/>
  <slicer name="Roast Type Name" xr10:uid="{D8F99F45-AFBF-4B86-AAD8-6A83CD33E684}" cache="Slicer_Roast_Type_Name" caption="Roast Type Name" columnCount="3" rowHeight="234950"/>
  <slicer name="Loyalty Card" xr10:uid="{21BAD710-06AA-4611-99A6-0678A49EF59C}"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F642FB-79A8-4BC5-AAE6-C9E0E9D555B2}" name="Table1" displayName="Table1" ref="A1:P1001" totalsRowShown="0" headerRowDxfId="11">
  <autoFilter ref="A1:P1001" xr:uid="{EFF642FB-79A8-4BC5-AAE6-C9E0E9D555B2}"/>
  <tableColumns count="16">
    <tableColumn id="1" xr3:uid="{AD8C44F0-0E34-4DE0-874C-C5D026821030}" name="Order ID" dataDxfId="10"/>
    <tableColumn id="2" xr3:uid="{315EA748-5358-4199-883A-4821E3A39EDF}" name="Order Date" dataDxfId="9"/>
    <tableColumn id="3" xr3:uid="{B1D712C6-D2B3-48EE-B80D-5192431686F4}" name="Customer ID" dataDxfId="8"/>
    <tableColumn id="4" xr3:uid="{49DB0438-07B8-4D6A-95B2-5C3AD48C0750}" name="Product ID"/>
    <tableColumn id="5" xr3:uid="{50339FB1-E965-407E-8E86-D3D3603158A4}" name="Quantity" dataDxfId="7"/>
    <tableColumn id="6" xr3:uid="{72650076-AA76-4C64-B7B4-FC02812AE7F8}" name="Customer Name" dataDxfId="6">
      <calculatedColumnFormula>_xlfn.XLOOKUP(C2,customers!$A$1:$A$1001,customers!$B$1:$B$1001, ,0)</calculatedColumnFormula>
    </tableColumn>
    <tableColumn id="7" xr3:uid="{482D3709-86C1-4698-9803-E21C7812D40A}" name="N" dataDxfId="5">
      <calculatedColumnFormula>IF(_xlfn.XLOOKUP(C2,customers!$A$1:$A$1001,customers!$C$1:$C$1001,,0)=0,"",_xlfn.XLOOKUP(C2,customers!$A$1:$A$1001,customers!$C$1:$C$1001,,0))</calculatedColumnFormula>
    </tableColumn>
    <tableColumn id="8" xr3:uid="{B444C190-6ACD-4323-9B16-47F9439DB1F3}" name="Country" dataDxfId="4">
      <calculatedColumnFormula>_xlfn.XLOOKUP(C2,customers!$A$1:$A$1001,customers!$G$1:$G$1001,,0)</calculatedColumnFormula>
    </tableColumn>
    <tableColumn id="9" xr3:uid="{A2BA9B07-9BAA-4A04-8753-E5B16A7D2B13}" name="Coffee Type">
      <calculatedColumnFormula>INDEX(products!$A$1:$G$49,MATCH(orders!$D2,products!$A$1:$A$49,0),MATCH(orders!I$1,products!$A$1:$G$1,0))</calculatedColumnFormula>
    </tableColumn>
    <tableColumn id="10" xr3:uid="{C7255D83-35E9-479B-A231-E8CC97EDDCA1}" name="Roast Type">
      <calculatedColumnFormula>INDEX(products!$A$1:$G$49,MATCH(orders!$D2,products!$A$1:$A$49,0),MATCH(orders!J$1,products!$A$1:$G$1,0))</calculatedColumnFormula>
    </tableColumn>
    <tableColumn id="11" xr3:uid="{F6C054B2-2024-43D8-8F7E-63E41DBE24F6}" name="Size" dataDxfId="3">
      <calculatedColumnFormula>INDEX(products!$A$1:$G$49,MATCH(orders!$D2,products!$A$1:$A$49,0),MATCH(orders!K$1,products!$A$1:$G$1,0))</calculatedColumnFormula>
    </tableColumn>
    <tableColumn id="12" xr3:uid="{0F472F3F-0F87-4FE8-A885-70C7BA6AF7C2}" name="Unit Price" dataDxfId="2" dataCellStyle="Currency">
      <calculatedColumnFormula>INDEX(products!$A$1:$G$49,MATCH(orders!$D2,products!$A$1:$A$49,0),MATCH(orders!L$1,products!$A$1:$G$1,0))</calculatedColumnFormula>
    </tableColumn>
    <tableColumn id="13" xr3:uid="{381D6808-E703-479F-BD6B-E45F0B5EBA7C}" name="Sales" dataDxfId="1" dataCellStyle="Currency">
      <calculatedColumnFormula>L2*E2</calculatedColumnFormula>
    </tableColumn>
    <tableColumn id="14" xr3:uid="{AAC007E1-F871-46A6-B278-041272EFD828}" name="Coffee Type Name">
      <calculatedColumnFormula>IF(I2="Rob","Robusta",IF(I2="Ara","Arabica",IF(I2="Lib","Liberica",IF(I2="Exc","Excelsa",""))))</calculatedColumnFormula>
    </tableColumn>
    <tableColumn id="15" xr3:uid="{896C53AE-12B2-4C09-9E62-CE1F8ACD79BE}" name="Roast Type Name">
      <calculatedColumnFormula>IF(J2="M","Middle",IF(J2="L","Light",IF(J2="D","Dark","")))</calculatedColumnFormula>
    </tableColumn>
    <tableColumn id="16" xr3:uid="{C8C7FBC5-5FB1-4533-8B88-6D4CF5EB2F61}" name="Loyalty Card" dataDxfId="0">
      <calculatedColumnFormula>_xlfn.XLOOKUP(Table1[[#This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F4BEF74-2983-4FED-93DF-16C1BE31D426}" sourceName="Order Date">
  <pivotTables>
    <pivotTable tabId="18" name="TotalSales"/>
    <pivotTable tabId="19" name="TotalSales"/>
    <pivotTable tabId="21" name="TotalSales"/>
  </pivotTables>
  <state minimalRefreshVersion="6" lastRefreshVersion="6" pivotCacheId="29492011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12F490B-3292-4B44-A69C-E01BC6E3AC46}" cache="NativeTimeline_Order_Date" caption="Order Date" level="2" selectionLevel="2" scrollPosition="2020-04-27T00:00:00" style="Timeline Style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FCA2-C1FF-4408-9A2A-B8EE0EF4BE53}">
  <dimension ref="A1:A30"/>
  <sheetViews>
    <sheetView showGridLines="0" tabSelected="1" zoomScale="64" workbookViewId="0">
      <selection activeCell="AA20" sqref="AA20"/>
    </sheetView>
  </sheetViews>
  <sheetFormatPr defaultRowHeight="14.4" x14ac:dyDescent="0.3"/>
  <cols>
    <col min="1" max="1" width="1.77734375" customWidth="1"/>
    <col min="18" max="18" width="1.77734375" customWidth="1"/>
  </cols>
  <sheetData>
    <row r="1" ht="4.95" customHeight="1" x14ac:dyDescent="0.3"/>
    <row r="30"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59612-C116-4B37-9F38-210A8261F42F}">
  <dimension ref="A3:F48"/>
  <sheetViews>
    <sheetView topLeftCell="C1" zoomScale="74" workbookViewId="0">
      <selection activeCell="V19" sqref="V19"/>
    </sheetView>
  </sheetViews>
  <sheetFormatPr defaultRowHeight="14.4" x14ac:dyDescent="0.3"/>
  <cols>
    <col min="1" max="1" width="18.6640625" bestFit="1" customWidth="1"/>
    <col min="2" max="2" width="22.77734375" bestFit="1" customWidth="1"/>
    <col min="3" max="3" width="20.109375" bestFit="1" customWidth="1"/>
    <col min="4" max="4" width="7.33203125" bestFit="1" customWidth="1"/>
    <col min="5" max="5" width="7.77734375" bestFit="1" customWidth="1"/>
    <col min="6" max="6" width="8.5546875" bestFit="1" customWidth="1"/>
  </cols>
  <sheetData>
    <row r="3" spans="1:6" x14ac:dyDescent="0.3">
      <c r="A3" s="6" t="s">
        <v>6221</v>
      </c>
      <c r="C3" s="6" t="s">
        <v>6196</v>
      </c>
    </row>
    <row r="4" spans="1:6" x14ac:dyDescent="0.3">
      <c r="A4" s="6" t="s">
        <v>6215</v>
      </c>
      <c r="B4" s="6" t="s">
        <v>6216</v>
      </c>
      <c r="C4" t="s">
        <v>6217</v>
      </c>
      <c r="D4" t="s">
        <v>6218</v>
      </c>
      <c r="E4" t="s">
        <v>6219</v>
      </c>
      <c r="F4" t="s">
        <v>6220</v>
      </c>
    </row>
    <row r="5" spans="1:6" x14ac:dyDescent="0.3">
      <c r="A5" t="s">
        <v>6199</v>
      </c>
      <c r="B5" t="s">
        <v>6203</v>
      </c>
      <c r="C5" s="7">
        <v>186.85499999999999</v>
      </c>
      <c r="D5" s="7">
        <v>305.97000000000003</v>
      </c>
      <c r="E5" s="7">
        <v>213.15999999999997</v>
      </c>
      <c r="F5" s="7">
        <v>123</v>
      </c>
    </row>
    <row r="6" spans="1:6" x14ac:dyDescent="0.3">
      <c r="B6" t="s">
        <v>6204</v>
      </c>
      <c r="C6" s="7">
        <v>251.96499999999997</v>
      </c>
      <c r="D6" s="7">
        <v>129.46</v>
      </c>
      <c r="E6" s="7">
        <v>434.03999999999996</v>
      </c>
      <c r="F6" s="7">
        <v>171.93999999999997</v>
      </c>
    </row>
    <row r="7" spans="1:6" x14ac:dyDescent="0.3">
      <c r="B7" t="s">
        <v>6205</v>
      </c>
      <c r="C7" s="7">
        <v>224.94499999999999</v>
      </c>
      <c r="D7" s="7">
        <v>349.12</v>
      </c>
      <c r="E7" s="7">
        <v>321.04000000000002</v>
      </c>
      <c r="F7" s="7">
        <v>126.035</v>
      </c>
    </row>
    <row r="8" spans="1:6" x14ac:dyDescent="0.3">
      <c r="B8" t="s">
        <v>6206</v>
      </c>
      <c r="C8" s="7">
        <v>307.12</v>
      </c>
      <c r="D8" s="7">
        <v>681.07499999999993</v>
      </c>
      <c r="E8" s="7">
        <v>533.70499999999993</v>
      </c>
      <c r="F8" s="7">
        <v>158.85</v>
      </c>
    </row>
    <row r="9" spans="1:6" x14ac:dyDescent="0.3">
      <c r="B9" t="s">
        <v>6207</v>
      </c>
      <c r="C9" s="7">
        <v>53.664999999999992</v>
      </c>
      <c r="D9" s="7">
        <v>83.025000000000006</v>
      </c>
      <c r="E9" s="7">
        <v>193.83499999999998</v>
      </c>
      <c r="F9" s="7">
        <v>68.039999999999992</v>
      </c>
    </row>
    <row r="10" spans="1:6" x14ac:dyDescent="0.3">
      <c r="B10" t="s">
        <v>6208</v>
      </c>
      <c r="C10" s="7">
        <v>163.01999999999998</v>
      </c>
      <c r="D10" s="7">
        <v>678.3599999999999</v>
      </c>
      <c r="E10" s="7">
        <v>171.04500000000002</v>
      </c>
      <c r="F10" s="7">
        <v>372.255</v>
      </c>
    </row>
    <row r="11" spans="1:6" x14ac:dyDescent="0.3">
      <c r="B11" t="s">
        <v>6209</v>
      </c>
      <c r="C11" s="7">
        <v>345.02</v>
      </c>
      <c r="D11" s="7">
        <v>273.86999999999995</v>
      </c>
      <c r="E11" s="7">
        <v>184.12999999999997</v>
      </c>
      <c r="F11" s="7">
        <v>201.11499999999998</v>
      </c>
    </row>
    <row r="12" spans="1:6" x14ac:dyDescent="0.3">
      <c r="B12" t="s">
        <v>6210</v>
      </c>
      <c r="C12" s="7">
        <v>334.89</v>
      </c>
      <c r="D12" s="7">
        <v>70.95</v>
      </c>
      <c r="E12" s="7">
        <v>134.23000000000002</v>
      </c>
      <c r="F12" s="7">
        <v>166.27499999999998</v>
      </c>
    </row>
    <row r="13" spans="1:6" x14ac:dyDescent="0.3">
      <c r="B13" t="s">
        <v>6211</v>
      </c>
      <c r="C13" s="7">
        <v>178.70999999999998</v>
      </c>
      <c r="D13" s="7">
        <v>166.1</v>
      </c>
      <c r="E13" s="7">
        <v>439.30999999999995</v>
      </c>
      <c r="F13" s="7">
        <v>492.9</v>
      </c>
    </row>
    <row r="14" spans="1:6" x14ac:dyDescent="0.3">
      <c r="B14" t="s">
        <v>6212</v>
      </c>
      <c r="C14" s="7">
        <v>301.98500000000001</v>
      </c>
      <c r="D14" s="7">
        <v>153.76499999999999</v>
      </c>
      <c r="E14" s="7">
        <v>215.55499999999998</v>
      </c>
      <c r="F14" s="7">
        <v>213.66499999999999</v>
      </c>
    </row>
    <row r="15" spans="1:6" x14ac:dyDescent="0.3">
      <c r="B15" t="s">
        <v>6213</v>
      </c>
      <c r="C15" s="7">
        <v>312.83499999999998</v>
      </c>
      <c r="D15" s="7">
        <v>63.249999999999993</v>
      </c>
      <c r="E15" s="7">
        <v>350.89500000000004</v>
      </c>
      <c r="F15" s="7">
        <v>96.405000000000001</v>
      </c>
    </row>
    <row r="16" spans="1:6" x14ac:dyDescent="0.3">
      <c r="B16" t="s">
        <v>6214</v>
      </c>
      <c r="C16" s="7">
        <v>265.62</v>
      </c>
      <c r="D16" s="7">
        <v>526.51499999999987</v>
      </c>
      <c r="E16" s="7">
        <v>187.06</v>
      </c>
      <c r="F16" s="7">
        <v>210.58999999999997</v>
      </c>
    </row>
    <row r="17" spans="1:6" x14ac:dyDescent="0.3">
      <c r="A17" t="s">
        <v>6200</v>
      </c>
      <c r="B17" t="s">
        <v>6203</v>
      </c>
      <c r="C17" s="7">
        <v>47.25</v>
      </c>
      <c r="D17" s="7">
        <v>65.805000000000007</v>
      </c>
      <c r="E17" s="7">
        <v>274.67500000000001</v>
      </c>
      <c r="F17" s="7">
        <v>179.22</v>
      </c>
    </row>
    <row r="18" spans="1:6" x14ac:dyDescent="0.3">
      <c r="B18" t="s">
        <v>6204</v>
      </c>
      <c r="C18" s="7">
        <v>745.44999999999993</v>
      </c>
      <c r="D18" s="7">
        <v>428.88499999999999</v>
      </c>
      <c r="E18" s="7">
        <v>194.17499999999998</v>
      </c>
      <c r="F18" s="7">
        <v>429.82999999999993</v>
      </c>
    </row>
    <row r="19" spans="1:6" x14ac:dyDescent="0.3">
      <c r="B19" t="s">
        <v>6205</v>
      </c>
      <c r="C19" s="7">
        <v>130.47</v>
      </c>
      <c r="D19" s="7">
        <v>271.48500000000001</v>
      </c>
      <c r="E19" s="7">
        <v>281.20499999999998</v>
      </c>
      <c r="F19" s="7">
        <v>231.63000000000002</v>
      </c>
    </row>
    <row r="20" spans="1:6" x14ac:dyDescent="0.3">
      <c r="B20" t="s">
        <v>6206</v>
      </c>
      <c r="C20" s="7">
        <v>27</v>
      </c>
      <c r="D20" s="7">
        <v>347.26</v>
      </c>
      <c r="E20" s="7">
        <v>147.51</v>
      </c>
      <c r="F20" s="7">
        <v>240.04</v>
      </c>
    </row>
    <row r="21" spans="1:6" x14ac:dyDescent="0.3">
      <c r="B21" t="s">
        <v>6207</v>
      </c>
      <c r="C21" s="7">
        <v>255.11499999999995</v>
      </c>
      <c r="D21" s="7">
        <v>541.73</v>
      </c>
      <c r="E21" s="7">
        <v>83.43</v>
      </c>
      <c r="F21" s="7">
        <v>59.079999999999991</v>
      </c>
    </row>
    <row r="22" spans="1:6" x14ac:dyDescent="0.3">
      <c r="B22" t="s">
        <v>6208</v>
      </c>
      <c r="C22" s="7">
        <v>584.78999999999985</v>
      </c>
      <c r="D22" s="7">
        <v>357.42999999999995</v>
      </c>
      <c r="E22" s="7">
        <v>355.34</v>
      </c>
      <c r="F22" s="7">
        <v>140.88</v>
      </c>
    </row>
    <row r="23" spans="1:6" x14ac:dyDescent="0.3">
      <c r="B23" t="s">
        <v>6209</v>
      </c>
      <c r="C23" s="7">
        <v>430.62</v>
      </c>
      <c r="D23" s="7">
        <v>227.42500000000001</v>
      </c>
      <c r="E23" s="7">
        <v>236.315</v>
      </c>
      <c r="F23" s="7">
        <v>414.58499999999992</v>
      </c>
    </row>
    <row r="24" spans="1:6" x14ac:dyDescent="0.3">
      <c r="B24" t="s">
        <v>6210</v>
      </c>
      <c r="C24" s="7">
        <v>22.5</v>
      </c>
      <c r="D24" s="7">
        <v>77.72</v>
      </c>
      <c r="E24" s="7">
        <v>60.5</v>
      </c>
      <c r="F24" s="7">
        <v>139.67999999999998</v>
      </c>
    </row>
    <row r="25" spans="1:6" x14ac:dyDescent="0.3">
      <c r="B25" t="s">
        <v>6211</v>
      </c>
      <c r="C25" s="7">
        <v>126.14999999999999</v>
      </c>
      <c r="D25" s="7">
        <v>195.11</v>
      </c>
      <c r="E25" s="7">
        <v>89.13</v>
      </c>
      <c r="F25" s="7">
        <v>302.65999999999997</v>
      </c>
    </row>
    <row r="26" spans="1:6" x14ac:dyDescent="0.3">
      <c r="B26" t="s">
        <v>6212</v>
      </c>
      <c r="C26" s="7">
        <v>376.03</v>
      </c>
      <c r="D26" s="7">
        <v>523.24</v>
      </c>
      <c r="E26" s="7">
        <v>440.96499999999997</v>
      </c>
      <c r="F26" s="7">
        <v>174.46999999999997</v>
      </c>
    </row>
    <row r="27" spans="1:6" x14ac:dyDescent="0.3">
      <c r="B27" t="s">
        <v>6213</v>
      </c>
      <c r="C27" s="7">
        <v>515.17999999999995</v>
      </c>
      <c r="D27" s="7">
        <v>142.56</v>
      </c>
      <c r="E27" s="7">
        <v>347.03999999999996</v>
      </c>
      <c r="F27" s="7">
        <v>104.08499999999999</v>
      </c>
    </row>
    <row r="28" spans="1:6" x14ac:dyDescent="0.3">
      <c r="B28" t="s">
        <v>6214</v>
      </c>
      <c r="C28" s="7">
        <v>95.859999999999985</v>
      </c>
      <c r="D28" s="7">
        <v>484.76</v>
      </c>
      <c r="E28" s="7">
        <v>94.17</v>
      </c>
      <c r="F28" s="7">
        <v>77.10499999999999</v>
      </c>
    </row>
    <row r="29" spans="1:6" x14ac:dyDescent="0.3">
      <c r="A29" t="s">
        <v>6201</v>
      </c>
      <c r="B29" t="s">
        <v>6203</v>
      </c>
      <c r="C29" s="7">
        <v>258.34500000000003</v>
      </c>
      <c r="D29" s="7">
        <v>139.625</v>
      </c>
      <c r="E29" s="7">
        <v>279.52000000000004</v>
      </c>
      <c r="F29" s="7">
        <v>160.19499999999999</v>
      </c>
    </row>
    <row r="30" spans="1:6" x14ac:dyDescent="0.3">
      <c r="B30" t="s">
        <v>6204</v>
      </c>
      <c r="C30" s="7">
        <v>342.2</v>
      </c>
      <c r="D30" s="7">
        <v>284.24999999999994</v>
      </c>
      <c r="E30" s="7">
        <v>251.83</v>
      </c>
      <c r="F30" s="7">
        <v>80.550000000000011</v>
      </c>
    </row>
    <row r="31" spans="1:6" x14ac:dyDescent="0.3">
      <c r="B31" t="s">
        <v>6205</v>
      </c>
      <c r="C31" s="7">
        <v>418.30499999999989</v>
      </c>
      <c r="D31" s="7">
        <v>468.125</v>
      </c>
      <c r="E31" s="7">
        <v>405.05500000000006</v>
      </c>
      <c r="F31" s="7">
        <v>253.15499999999997</v>
      </c>
    </row>
    <row r="32" spans="1:6" x14ac:dyDescent="0.3">
      <c r="B32" t="s">
        <v>6206</v>
      </c>
      <c r="C32" s="7">
        <v>102.32999999999998</v>
      </c>
      <c r="D32" s="7">
        <v>242.14000000000001</v>
      </c>
      <c r="E32" s="7">
        <v>554.875</v>
      </c>
      <c r="F32" s="7">
        <v>106.23999999999998</v>
      </c>
    </row>
    <row r="33" spans="1:6" x14ac:dyDescent="0.3">
      <c r="B33" t="s">
        <v>6207</v>
      </c>
      <c r="C33" s="7">
        <v>234.71999999999997</v>
      </c>
      <c r="D33" s="7">
        <v>133.08000000000001</v>
      </c>
      <c r="E33" s="7">
        <v>267.2</v>
      </c>
      <c r="F33" s="7">
        <v>272.68999999999994</v>
      </c>
    </row>
    <row r="34" spans="1:6" x14ac:dyDescent="0.3">
      <c r="B34" t="s">
        <v>6208</v>
      </c>
      <c r="C34" s="7">
        <v>430.39</v>
      </c>
      <c r="D34" s="7">
        <v>136.20500000000001</v>
      </c>
      <c r="E34" s="7">
        <v>209.6</v>
      </c>
      <c r="F34" s="7">
        <v>88.334999999999994</v>
      </c>
    </row>
    <row r="35" spans="1:6" x14ac:dyDescent="0.3">
      <c r="B35" t="s">
        <v>6209</v>
      </c>
      <c r="C35" s="7">
        <v>109.005</v>
      </c>
      <c r="D35" s="7">
        <v>393.57499999999999</v>
      </c>
      <c r="E35" s="7">
        <v>61.034999999999997</v>
      </c>
      <c r="F35" s="7">
        <v>199.48999999999998</v>
      </c>
    </row>
    <row r="36" spans="1:6" x14ac:dyDescent="0.3">
      <c r="B36" t="s">
        <v>6210</v>
      </c>
      <c r="C36" s="7">
        <v>287.52499999999998</v>
      </c>
      <c r="D36" s="7">
        <v>288.67</v>
      </c>
      <c r="E36" s="7">
        <v>125.58</v>
      </c>
      <c r="F36" s="7">
        <v>374.13499999999999</v>
      </c>
    </row>
    <row r="37" spans="1:6" x14ac:dyDescent="0.3">
      <c r="B37" t="s">
        <v>6211</v>
      </c>
      <c r="C37" s="7">
        <v>840.92999999999984</v>
      </c>
      <c r="D37" s="7">
        <v>409.875</v>
      </c>
      <c r="E37" s="7">
        <v>171.32999999999998</v>
      </c>
      <c r="F37" s="7">
        <v>221.43999999999997</v>
      </c>
    </row>
    <row r="38" spans="1:6" x14ac:dyDescent="0.3">
      <c r="B38" t="s">
        <v>6212</v>
      </c>
      <c r="C38" s="7">
        <v>299.07</v>
      </c>
      <c r="D38" s="7">
        <v>260.32499999999999</v>
      </c>
      <c r="E38" s="7">
        <v>584.64</v>
      </c>
      <c r="F38" s="7">
        <v>256.36500000000001</v>
      </c>
    </row>
    <row r="39" spans="1:6" x14ac:dyDescent="0.3">
      <c r="B39" t="s">
        <v>6213</v>
      </c>
      <c r="C39" s="7">
        <v>323.32499999999999</v>
      </c>
      <c r="D39" s="7">
        <v>565.57000000000005</v>
      </c>
      <c r="E39" s="7">
        <v>537.80999999999995</v>
      </c>
      <c r="F39" s="7">
        <v>189.47499999999999</v>
      </c>
    </row>
    <row r="40" spans="1:6" x14ac:dyDescent="0.3">
      <c r="B40" t="s">
        <v>6214</v>
      </c>
      <c r="C40" s="7">
        <v>399.48499999999996</v>
      </c>
      <c r="D40" s="7">
        <v>148.19999999999999</v>
      </c>
      <c r="E40" s="7">
        <v>388.21999999999997</v>
      </c>
      <c r="F40" s="7">
        <v>212.07499999999999</v>
      </c>
    </row>
    <row r="41" spans="1:6" x14ac:dyDescent="0.3">
      <c r="A41" t="s">
        <v>6202</v>
      </c>
      <c r="B41" t="s">
        <v>6203</v>
      </c>
      <c r="C41" s="7">
        <v>112.69499999999999</v>
      </c>
      <c r="D41" s="7">
        <v>166.32</v>
      </c>
      <c r="E41" s="7">
        <v>843.71499999999992</v>
      </c>
      <c r="F41" s="7">
        <v>146.685</v>
      </c>
    </row>
    <row r="42" spans="1:6" x14ac:dyDescent="0.3">
      <c r="B42" t="s">
        <v>6204</v>
      </c>
      <c r="C42" s="7">
        <v>114.87999999999998</v>
      </c>
      <c r="D42" s="7">
        <v>133.815</v>
      </c>
      <c r="E42" s="7">
        <v>91.175000000000011</v>
      </c>
      <c r="F42" s="7">
        <v>53.759999999999991</v>
      </c>
    </row>
    <row r="43" spans="1:6" x14ac:dyDescent="0.3">
      <c r="B43" t="s">
        <v>6205</v>
      </c>
      <c r="C43" s="7">
        <v>277.76</v>
      </c>
      <c r="D43" s="7">
        <v>175.41</v>
      </c>
      <c r="E43" s="7">
        <v>462.50999999999993</v>
      </c>
      <c r="F43" s="7">
        <v>399.52499999999998</v>
      </c>
    </row>
    <row r="44" spans="1:6" x14ac:dyDescent="0.3">
      <c r="B44" t="s">
        <v>6206</v>
      </c>
      <c r="C44" s="7">
        <v>197.89499999999998</v>
      </c>
      <c r="D44" s="7">
        <v>289.755</v>
      </c>
      <c r="E44" s="7">
        <v>88.545000000000002</v>
      </c>
      <c r="F44" s="7">
        <v>200.25499999999997</v>
      </c>
    </row>
    <row r="45" spans="1:6" x14ac:dyDescent="0.3">
      <c r="B45" t="s">
        <v>6207</v>
      </c>
      <c r="C45" s="7">
        <v>193.11499999999998</v>
      </c>
      <c r="D45" s="7">
        <v>212.49499999999998</v>
      </c>
      <c r="E45" s="7">
        <v>292.29000000000002</v>
      </c>
      <c r="F45" s="7">
        <v>304.46999999999997</v>
      </c>
    </row>
    <row r="46" spans="1:6" x14ac:dyDescent="0.3">
      <c r="B46" t="s">
        <v>6208</v>
      </c>
      <c r="C46" s="7">
        <v>179.79</v>
      </c>
      <c r="D46" s="7">
        <v>426.2</v>
      </c>
      <c r="E46" s="7">
        <v>170.08999999999997</v>
      </c>
      <c r="F46" s="7">
        <v>379.31</v>
      </c>
    </row>
    <row r="47" spans="1:6" x14ac:dyDescent="0.3">
      <c r="B47" t="s">
        <v>6209</v>
      </c>
      <c r="C47" s="7">
        <v>247.28999999999996</v>
      </c>
      <c r="D47" s="7">
        <v>246.685</v>
      </c>
      <c r="E47" s="7">
        <v>271.05499999999995</v>
      </c>
      <c r="F47" s="7">
        <v>141.69999999999999</v>
      </c>
    </row>
    <row r="48" spans="1:6" x14ac:dyDescent="0.3">
      <c r="B48" t="s">
        <v>6210</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1BE3-7DCD-4DC1-B1F8-FF71A81B41D1}">
  <dimension ref="A3:B6"/>
  <sheetViews>
    <sheetView topLeftCell="A3" zoomScale="110" workbookViewId="0">
      <selection activeCell="O8" sqref="O8"/>
    </sheetView>
  </sheetViews>
  <sheetFormatPr defaultRowHeight="14.4" x14ac:dyDescent="0.3"/>
  <cols>
    <col min="1" max="1" width="14.6640625" bestFit="1" customWidth="1"/>
    <col min="2" max="2" width="11.6640625" bestFit="1" customWidth="1"/>
    <col min="3" max="3" width="15.5546875" bestFit="1" customWidth="1"/>
    <col min="4" max="4" width="13" bestFit="1" customWidth="1"/>
    <col min="5" max="6" width="8.5546875" bestFit="1" customWidth="1"/>
  </cols>
  <sheetData>
    <row r="3" spans="1:2" x14ac:dyDescent="0.3">
      <c r="A3" s="6" t="s">
        <v>7</v>
      </c>
      <c r="B3" t="s">
        <v>6221</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357C2-3E05-46C5-A3CD-F459479254C4}">
  <dimension ref="A3:B8"/>
  <sheetViews>
    <sheetView zoomScale="110" workbookViewId="0">
      <selection activeCell="F4" sqref="F4"/>
    </sheetView>
  </sheetViews>
  <sheetFormatPr defaultRowHeight="14.4" x14ac:dyDescent="0.3"/>
  <cols>
    <col min="1" max="1" width="16.88671875" bestFit="1" customWidth="1"/>
    <col min="2" max="2" width="11.6640625" bestFit="1" customWidth="1"/>
    <col min="3" max="3" width="15.5546875" bestFit="1" customWidth="1"/>
    <col min="4" max="4" width="13" bestFit="1" customWidth="1"/>
    <col min="5" max="6" width="8.5546875" bestFit="1" customWidth="1"/>
  </cols>
  <sheetData>
    <row r="3" spans="1:2" x14ac:dyDescent="0.3">
      <c r="A3" s="6" t="s">
        <v>4</v>
      </c>
      <c r="B3" t="s">
        <v>6221</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Q1001"/>
  <sheetViews>
    <sheetView topLeftCell="H1" zoomScale="101" zoomScaleNormal="205" workbookViewId="0">
      <selection activeCell="O2" sqref="O2"/>
    </sheetView>
  </sheetViews>
  <sheetFormatPr defaultRowHeight="14.4" x14ac:dyDescent="0.3"/>
  <cols>
    <col min="1" max="1" width="16.33203125" bestFit="1" customWidth="1"/>
    <col min="2" max="2" width="12.6640625" customWidth="1"/>
    <col min="3" max="3" width="17.109375" bestFit="1" customWidth="1"/>
    <col min="4" max="4" width="12" customWidth="1"/>
    <col min="5" max="5" width="10.5546875" customWidth="1"/>
    <col min="6" max="6" width="22.6640625" bestFit="1" customWidth="1"/>
    <col min="7" max="7" width="37.44140625" bestFit="1" customWidth="1"/>
    <col min="8" max="8" width="14.6640625" bestFit="1" customWidth="1"/>
    <col min="9" max="9" width="13.21875" customWidth="1"/>
    <col min="10" max="10" width="12.44140625" customWidth="1"/>
    <col min="11" max="11" width="7.21875" bestFit="1" customWidth="1"/>
    <col min="12" max="12" width="11.44140625" customWidth="1"/>
    <col min="13" max="13" width="9.44140625" bestFit="1" customWidth="1"/>
    <col min="14" max="14" width="18.77734375" customWidth="1"/>
    <col min="15" max="15" width="18" customWidth="1"/>
    <col min="16" max="16" width="13.88671875" bestFit="1" customWidth="1"/>
  </cols>
  <sheetData>
    <row r="1" spans="1:16" x14ac:dyDescent="0.3">
      <c r="A1" s="2" t="s">
        <v>0</v>
      </c>
      <c r="B1" s="2" t="s">
        <v>1</v>
      </c>
      <c r="C1" s="2" t="s">
        <v>3</v>
      </c>
      <c r="D1" s="2" t="s">
        <v>11</v>
      </c>
      <c r="E1" s="2" t="s">
        <v>14</v>
      </c>
      <c r="F1" s="2" t="s">
        <v>4</v>
      </c>
      <c r="G1" s="2" t="s">
        <v>6198</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 ,0)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IF(I2="Rob","Robusta",IF(I2="Ara","Arabica",IF(I2="Lib","Liberica",IF(I2="Exc","Excelsa",""))))</f>
        <v>Robusta</v>
      </c>
      <c r="O2" t="str">
        <f>IF(J2="M","Middle",IF(J2="L","Light",IF(J2="D","Dark","")))</f>
        <v>Middle</v>
      </c>
      <c r="P2" t="str">
        <f>_xlfn.XLOOKUP(Table1[[#This Row],[Customer ID]],customers!$A$1:$A$1001,customers!$I$1:$I$1001,,0)</f>
        <v>Yes</v>
      </c>
    </row>
    <row r="3" spans="1:16" x14ac:dyDescent="0.3">
      <c r="A3" s="2" t="s">
        <v>490</v>
      </c>
      <c r="B3" s="3">
        <v>43713</v>
      </c>
      <c r="C3" s="2" t="s">
        <v>491</v>
      </c>
      <c r="D3" t="s">
        <v>6139</v>
      </c>
      <c r="E3" s="2">
        <v>5</v>
      </c>
      <c r="F3" s="2" t="str">
        <f>_xlfn.XLOOKUP(C3,customers!$A$1:$A$1001,customers!$B$1:$B$1001, ,0)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IF(I3="Rob","Robusta",IF(I3="Ara","Arabica",IF(I3="Lib","Liberica",IF(I3="Exc","Excelsa",""))))</f>
        <v>Excelsa</v>
      </c>
      <c r="O3" t="str">
        <f t="shared" ref="O3:O66" si="2">IF(J3="M","Middle",IF(J3="L","Light",IF(J3="D","Dark","")))</f>
        <v>Middle</v>
      </c>
      <c r="P3" t="str">
        <f>_xlfn.XLOOKUP(Table1[[#This Row],[Customer ID]],customers!$A$1:$A$1001,customers!$I$1:$I$1001,,0)</f>
        <v>Yes</v>
      </c>
    </row>
    <row r="4" spans="1:16" x14ac:dyDescent="0.3">
      <c r="A4" s="2" t="s">
        <v>501</v>
      </c>
      <c r="B4" s="3">
        <v>44364</v>
      </c>
      <c r="C4" s="2" t="s">
        <v>502</v>
      </c>
      <c r="D4" t="s">
        <v>6140</v>
      </c>
      <c r="E4" s="2">
        <v>1</v>
      </c>
      <c r="F4" s="2" t="str">
        <f>_xlfn.XLOOKUP(C4,customers!$A$1:$A$1001,customers!$B$1:$B$1001, ,0)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ID]],customers!$A$1:$A$1001,customers!$I$1:$I$1001,,0)</f>
        <v>Yes</v>
      </c>
    </row>
    <row r="5" spans="1:16" x14ac:dyDescent="0.3">
      <c r="A5" s="2" t="s">
        <v>512</v>
      </c>
      <c r="B5" s="3">
        <v>44392</v>
      </c>
      <c r="C5" s="2" t="s">
        <v>513</v>
      </c>
      <c r="D5" t="s">
        <v>6141</v>
      </c>
      <c r="E5" s="2">
        <v>2</v>
      </c>
      <c r="F5" s="2" t="str">
        <f>_xlfn.XLOOKUP(C5,customers!$A$1:$A$1001,customers!$B$1:$B$1001, ,0)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Middle</v>
      </c>
      <c r="P5" t="str">
        <f>_xlfn.XLOOKUP(Table1[[#This Row],[Customer ID]],customers!$A$1:$A$1001,customers!$I$1:$I$1001,,0)</f>
        <v>No</v>
      </c>
    </row>
    <row r="6" spans="1:16" x14ac:dyDescent="0.3">
      <c r="A6" s="2" t="s">
        <v>512</v>
      </c>
      <c r="B6" s="3">
        <v>44392</v>
      </c>
      <c r="C6" s="2" t="s">
        <v>513</v>
      </c>
      <c r="D6" t="s">
        <v>6142</v>
      </c>
      <c r="E6" s="2">
        <v>2</v>
      </c>
      <c r="F6" s="2" t="str">
        <f>_xlfn.XLOOKUP(C6,customers!$A$1:$A$1001,customers!$B$1:$B$1001, ,0)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3">
      <c r="A7" s="2" t="s">
        <v>519</v>
      </c>
      <c r="B7" s="3">
        <v>44412</v>
      </c>
      <c r="C7" s="2" t="s">
        <v>520</v>
      </c>
      <c r="D7" t="s">
        <v>6143</v>
      </c>
      <c r="E7" s="2">
        <v>3</v>
      </c>
      <c r="F7" s="2" t="str">
        <f>_xlfn.XLOOKUP(C7,customers!$A$1:$A$1001,customers!$B$1:$B$1001, ,0)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ID]],customers!$A$1:$A$1001,customers!$I$1:$I$1001,,0)</f>
        <v>No</v>
      </c>
    </row>
    <row r="8" spans="1:16" x14ac:dyDescent="0.3">
      <c r="A8" s="2" t="s">
        <v>524</v>
      </c>
      <c r="B8" s="3">
        <v>44582</v>
      </c>
      <c r="C8" s="2" t="s">
        <v>525</v>
      </c>
      <c r="D8" t="s">
        <v>6144</v>
      </c>
      <c r="E8" s="2">
        <v>3</v>
      </c>
      <c r="F8" s="2" t="str">
        <f>_xlfn.XLOOKUP(C8,customers!$A$1:$A$1001,customers!$B$1:$B$1001, ,0)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ID]],customers!$A$1:$A$1001,customers!$I$1:$I$1001,,0)</f>
        <v>Yes</v>
      </c>
    </row>
    <row r="9" spans="1:16" x14ac:dyDescent="0.3">
      <c r="A9" s="2" t="s">
        <v>530</v>
      </c>
      <c r="B9" s="3">
        <v>44701</v>
      </c>
      <c r="C9" s="2" t="s">
        <v>531</v>
      </c>
      <c r="D9" t="s">
        <v>6145</v>
      </c>
      <c r="E9" s="2">
        <v>1</v>
      </c>
      <c r="F9" s="2" t="str">
        <f>_xlfn.XLOOKUP(C9,customers!$A$1:$A$1001,customers!$B$1:$B$1001, ,0)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3">
      <c r="A10" s="2" t="s">
        <v>535</v>
      </c>
      <c r="B10" s="3">
        <v>43467</v>
      </c>
      <c r="C10" s="2" t="s">
        <v>536</v>
      </c>
      <c r="D10" t="s">
        <v>6146</v>
      </c>
      <c r="E10" s="2">
        <v>3</v>
      </c>
      <c r="F10" s="2" t="str">
        <f>_xlfn.XLOOKUP(C10,customers!$A$1:$A$1001,customers!$B$1:$B$1001, ,0)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Middle</v>
      </c>
      <c r="P10" t="str">
        <f>_xlfn.XLOOKUP(Table1[[#This Row],[Customer ID]],customers!$A$1:$A$1001,customers!$I$1:$I$1001,,0)</f>
        <v>No</v>
      </c>
    </row>
    <row r="11" spans="1:16" x14ac:dyDescent="0.3">
      <c r="A11" s="2" t="s">
        <v>541</v>
      </c>
      <c r="B11" s="3">
        <v>43713</v>
      </c>
      <c r="C11" s="2" t="s">
        <v>542</v>
      </c>
      <c r="D11" t="s">
        <v>6146</v>
      </c>
      <c r="E11" s="2">
        <v>1</v>
      </c>
      <c r="F11" s="2" t="str">
        <f>_xlfn.XLOOKUP(C11,customers!$A$1:$A$1001,customers!$B$1:$B$1001, ,0)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Middle</v>
      </c>
      <c r="P11" t="str">
        <f>_xlfn.XLOOKUP(Table1[[#This Row],[Customer ID]],customers!$A$1:$A$1001,customers!$I$1:$I$1001,,0)</f>
        <v>No</v>
      </c>
    </row>
    <row r="12" spans="1:16" x14ac:dyDescent="0.3">
      <c r="A12" s="2" t="s">
        <v>547</v>
      </c>
      <c r="B12" s="3">
        <v>44263</v>
      </c>
      <c r="C12" s="2" t="s">
        <v>548</v>
      </c>
      <c r="D12" t="s">
        <v>6147</v>
      </c>
      <c r="E12" s="2">
        <v>4</v>
      </c>
      <c r="F12" s="2" t="str">
        <f>_xlfn.XLOOKUP(C12,customers!$A$1:$A$1001,customers!$B$1:$B$1001, ,0)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3">
      <c r="A13" s="2" t="s">
        <v>553</v>
      </c>
      <c r="B13" s="3">
        <v>44132</v>
      </c>
      <c r="C13" s="2" t="s">
        <v>554</v>
      </c>
      <c r="D13" t="s">
        <v>6148</v>
      </c>
      <c r="E13" s="2">
        <v>5</v>
      </c>
      <c r="F13" s="2" t="str">
        <f>_xlfn.XLOOKUP(C13,customers!$A$1:$A$1001,customers!$B$1:$B$1001, ,0)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3">
      <c r="A14" s="2" t="s">
        <v>559</v>
      </c>
      <c r="B14" s="3">
        <v>44744</v>
      </c>
      <c r="C14" s="2" t="s">
        <v>560</v>
      </c>
      <c r="D14" t="s">
        <v>6138</v>
      </c>
      <c r="E14" s="2">
        <v>5</v>
      </c>
      <c r="F14" s="2" t="str">
        <f>_xlfn.XLOOKUP(C14,customers!$A$1:$A$1001,customers!$B$1:$B$1001, ,0)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Middle</v>
      </c>
      <c r="P14" t="str">
        <f>_xlfn.XLOOKUP(Table1[[#This Row],[Customer ID]],customers!$A$1:$A$1001,customers!$I$1:$I$1001,,0)</f>
        <v>No</v>
      </c>
    </row>
    <row r="15" spans="1:16" x14ac:dyDescent="0.3">
      <c r="A15" s="2" t="s">
        <v>565</v>
      </c>
      <c r="B15" s="3">
        <v>43973</v>
      </c>
      <c r="C15" s="2" t="s">
        <v>566</v>
      </c>
      <c r="D15" t="s">
        <v>6149</v>
      </c>
      <c r="E15" s="2">
        <v>2</v>
      </c>
      <c r="F15" s="2" t="str">
        <f>_xlfn.XLOOKUP(C15,customers!$A$1:$A$1001,customers!$B$1:$B$1001, ,0)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3">
      <c r="A16" s="2" t="s">
        <v>570</v>
      </c>
      <c r="B16" s="3">
        <v>44656</v>
      </c>
      <c r="C16" s="2" t="s">
        <v>571</v>
      </c>
      <c r="D16" t="s">
        <v>6150</v>
      </c>
      <c r="E16" s="2">
        <v>3</v>
      </c>
      <c r="F16" s="2" t="str">
        <f>_xlfn.XLOOKUP(C16,customers!$A$1:$A$1001,customers!$B$1:$B$1001, ,0)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3">
      <c r="A17" s="2" t="s">
        <v>576</v>
      </c>
      <c r="B17" s="3">
        <v>44719</v>
      </c>
      <c r="C17" s="2" t="s">
        <v>577</v>
      </c>
      <c r="D17" t="s">
        <v>6151</v>
      </c>
      <c r="E17" s="2">
        <v>5</v>
      </c>
      <c r="F17" s="2" t="str">
        <f>_xlfn.XLOOKUP(C17,customers!$A$1:$A$1001,customers!$B$1:$B$1001, ,0)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Middle</v>
      </c>
      <c r="P17" t="str">
        <f>_xlfn.XLOOKUP(Table1[[#This Row],[Customer ID]],customers!$A$1:$A$1001,customers!$I$1:$I$1001,,0)</f>
        <v>No</v>
      </c>
    </row>
    <row r="18" spans="1:16" x14ac:dyDescent="0.3">
      <c r="A18" s="2" t="s">
        <v>581</v>
      </c>
      <c r="B18" s="3">
        <v>43544</v>
      </c>
      <c r="C18" s="2" t="s">
        <v>582</v>
      </c>
      <c r="D18" t="s">
        <v>6152</v>
      </c>
      <c r="E18" s="2">
        <v>6</v>
      </c>
      <c r="F18" s="2" t="str">
        <f>_xlfn.XLOOKUP(C18,customers!$A$1:$A$1001,customers!$B$1:$B$1001, ,0)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Middle</v>
      </c>
      <c r="P18" t="str">
        <f>_xlfn.XLOOKUP(Table1[[#This Row],[Customer ID]],customers!$A$1:$A$1001,customers!$I$1:$I$1001,,0)</f>
        <v>No</v>
      </c>
    </row>
    <row r="19" spans="1:16" x14ac:dyDescent="0.3">
      <c r="A19" s="2" t="s">
        <v>587</v>
      </c>
      <c r="B19" s="3">
        <v>43757</v>
      </c>
      <c r="C19" s="2" t="s">
        <v>588</v>
      </c>
      <c r="D19" t="s">
        <v>6140</v>
      </c>
      <c r="E19" s="2">
        <v>6</v>
      </c>
      <c r="F19" s="2" t="str">
        <f>_xlfn.XLOOKUP(C19,customers!$A$1:$A$1001,customers!$B$1:$B$1001, ,0)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ID]],customers!$A$1:$A$1001,customers!$I$1:$I$1001,,0)</f>
        <v>No</v>
      </c>
    </row>
    <row r="20" spans="1:16" x14ac:dyDescent="0.3">
      <c r="A20" s="2" t="s">
        <v>593</v>
      </c>
      <c r="B20" s="3">
        <v>43629</v>
      </c>
      <c r="C20" s="2" t="s">
        <v>594</v>
      </c>
      <c r="D20" t="s">
        <v>6149</v>
      </c>
      <c r="E20" s="2">
        <v>4</v>
      </c>
      <c r="F20" s="2" t="str">
        <f>_xlfn.XLOOKUP(C20,customers!$A$1:$A$1001,customers!$B$1:$B$1001, ,0)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3">
      <c r="A21" s="2" t="s">
        <v>598</v>
      </c>
      <c r="B21" s="3">
        <v>44169</v>
      </c>
      <c r="C21" s="2" t="s">
        <v>599</v>
      </c>
      <c r="D21" t="s">
        <v>6152</v>
      </c>
      <c r="E21" s="2">
        <v>5</v>
      </c>
      <c r="F21" s="2" t="str">
        <f>_xlfn.XLOOKUP(C21,customers!$A$1:$A$1001,customers!$B$1:$B$1001, ,0)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Middle</v>
      </c>
      <c r="P21" t="str">
        <f>_xlfn.XLOOKUP(Table1[[#This Row],[Customer ID]],customers!$A$1:$A$1001,customers!$I$1:$I$1001,,0)</f>
        <v>Yes</v>
      </c>
    </row>
    <row r="22" spans="1:16" x14ac:dyDescent="0.3">
      <c r="A22" s="2" t="s">
        <v>598</v>
      </c>
      <c r="B22" s="3">
        <v>44169</v>
      </c>
      <c r="C22" s="2" t="s">
        <v>599</v>
      </c>
      <c r="D22" t="s">
        <v>6153</v>
      </c>
      <c r="E22" s="2">
        <v>4</v>
      </c>
      <c r="F22" s="2" t="str">
        <f>_xlfn.XLOOKUP(C22,customers!$A$1:$A$1001,customers!$B$1:$B$1001, ,0)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ID]],customers!$A$1:$A$1001,customers!$I$1:$I$1001,,0)</f>
        <v>Yes</v>
      </c>
    </row>
    <row r="23" spans="1:16" x14ac:dyDescent="0.3">
      <c r="A23" s="2" t="s">
        <v>608</v>
      </c>
      <c r="B23" s="3">
        <v>44169</v>
      </c>
      <c r="C23" s="2" t="s">
        <v>609</v>
      </c>
      <c r="D23" t="s">
        <v>6154</v>
      </c>
      <c r="E23" s="2">
        <v>6</v>
      </c>
      <c r="F23" s="2" t="str">
        <f>_xlfn.XLOOKUP(C23,customers!$A$1:$A$1001,customers!$B$1:$B$1001, ,0)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ID]],customers!$A$1:$A$1001,customers!$I$1:$I$1001,,0)</f>
        <v>No</v>
      </c>
    </row>
    <row r="24" spans="1:16" x14ac:dyDescent="0.3">
      <c r="A24" s="2" t="s">
        <v>614</v>
      </c>
      <c r="B24" s="3">
        <v>44218</v>
      </c>
      <c r="C24" s="2" t="s">
        <v>615</v>
      </c>
      <c r="D24" t="s">
        <v>6151</v>
      </c>
      <c r="E24" s="2">
        <v>4</v>
      </c>
      <c r="F24" s="2" t="str">
        <f>_xlfn.XLOOKUP(C24,customers!$A$1:$A$1001,customers!$B$1:$B$1001, ,0)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Middle</v>
      </c>
      <c r="P24" t="str">
        <f>_xlfn.XLOOKUP(Table1[[#This Row],[Customer ID]],customers!$A$1:$A$1001,customers!$I$1:$I$1001,,0)</f>
        <v>Yes</v>
      </c>
    </row>
    <row r="25" spans="1:16" x14ac:dyDescent="0.3">
      <c r="A25" s="2" t="s">
        <v>620</v>
      </c>
      <c r="B25" s="3">
        <v>44603</v>
      </c>
      <c r="C25" s="2" t="s">
        <v>621</v>
      </c>
      <c r="D25" t="s">
        <v>6154</v>
      </c>
      <c r="E25" s="2">
        <v>4</v>
      </c>
      <c r="F25" s="2" t="str">
        <f>_xlfn.XLOOKUP(C25,customers!$A$1:$A$1001,customers!$B$1:$B$1001, ,0)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ID]],customers!$A$1:$A$1001,customers!$I$1:$I$1001,,0)</f>
        <v>Yes</v>
      </c>
    </row>
    <row r="26" spans="1:16" x14ac:dyDescent="0.3">
      <c r="A26" s="2" t="s">
        <v>626</v>
      </c>
      <c r="B26" s="3">
        <v>44454</v>
      </c>
      <c r="C26" s="2" t="s">
        <v>627</v>
      </c>
      <c r="D26" t="s">
        <v>6155</v>
      </c>
      <c r="E26" s="2">
        <v>1</v>
      </c>
      <c r="F26" s="2" t="str">
        <f>_xlfn.XLOOKUP(C26,customers!$A$1:$A$1001,customers!$B$1:$B$1001, ,0)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Middle</v>
      </c>
      <c r="P26" t="str">
        <f>_xlfn.XLOOKUP(Table1[[#This Row],[Customer ID]],customers!$A$1:$A$1001,customers!$I$1:$I$1001,,0)</f>
        <v>No</v>
      </c>
    </row>
    <row r="27" spans="1:16" x14ac:dyDescent="0.3">
      <c r="A27" s="2" t="s">
        <v>632</v>
      </c>
      <c r="B27" s="3">
        <v>44128</v>
      </c>
      <c r="C27" s="2" t="s">
        <v>633</v>
      </c>
      <c r="D27" t="s">
        <v>6156</v>
      </c>
      <c r="E27" s="2">
        <v>3</v>
      </c>
      <c r="F27" s="2" t="str">
        <f>_xlfn.XLOOKUP(C27,customers!$A$1:$A$1001,customers!$B$1:$B$1001, ,0)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Middle</v>
      </c>
      <c r="P27" t="str">
        <f>_xlfn.XLOOKUP(Table1[[#This Row],[Customer ID]],customers!$A$1:$A$1001,customers!$I$1:$I$1001,,0)</f>
        <v>Yes</v>
      </c>
    </row>
    <row r="28" spans="1:16" x14ac:dyDescent="0.3">
      <c r="A28" s="2" t="s">
        <v>637</v>
      </c>
      <c r="B28" s="3">
        <v>43516</v>
      </c>
      <c r="C28" s="2" t="s">
        <v>638</v>
      </c>
      <c r="D28" t="s">
        <v>6157</v>
      </c>
      <c r="E28" s="2">
        <v>4</v>
      </c>
      <c r="F28" s="2" t="str">
        <f>_xlfn.XLOOKUP(C28,customers!$A$1:$A$1001,customers!$B$1:$B$1001, ,0)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Middle</v>
      </c>
      <c r="P28" t="str">
        <f>_xlfn.XLOOKUP(Table1[[#This Row],[Customer ID]],customers!$A$1:$A$1001,customers!$I$1:$I$1001,,0)</f>
        <v>Yes</v>
      </c>
    </row>
    <row r="29" spans="1:16" x14ac:dyDescent="0.3">
      <c r="A29" s="2" t="s">
        <v>643</v>
      </c>
      <c r="B29" s="3">
        <v>43746</v>
      </c>
      <c r="C29" s="2" t="s">
        <v>644</v>
      </c>
      <c r="D29" t="s">
        <v>6152</v>
      </c>
      <c r="E29" s="2">
        <v>5</v>
      </c>
      <c r="F29" s="2" t="str">
        <f>_xlfn.XLOOKUP(C29,customers!$A$1:$A$1001,customers!$B$1:$B$1001, ,0)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Middle</v>
      </c>
      <c r="P29" t="str">
        <f>_xlfn.XLOOKUP(Table1[[#This Row],[Customer ID]],customers!$A$1:$A$1001,customers!$I$1:$I$1001,,0)</f>
        <v>No</v>
      </c>
    </row>
    <row r="30" spans="1:16" x14ac:dyDescent="0.3">
      <c r="A30" s="2" t="s">
        <v>649</v>
      </c>
      <c r="B30" s="3">
        <v>44775</v>
      </c>
      <c r="C30" s="2" t="s">
        <v>650</v>
      </c>
      <c r="D30" t="s">
        <v>6158</v>
      </c>
      <c r="E30" s="2">
        <v>3</v>
      </c>
      <c r="F30" s="2" t="str">
        <f>_xlfn.XLOOKUP(C30,customers!$A$1:$A$1001,customers!$B$1:$B$1001, ,0)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ID]],customers!$A$1:$A$1001,customers!$I$1:$I$1001,,0)</f>
        <v>No</v>
      </c>
    </row>
    <row r="31" spans="1:16" x14ac:dyDescent="0.3">
      <c r="A31" s="2" t="s">
        <v>655</v>
      </c>
      <c r="B31" s="3">
        <v>43516</v>
      </c>
      <c r="C31" s="2" t="s">
        <v>656</v>
      </c>
      <c r="D31" t="s">
        <v>6147</v>
      </c>
      <c r="E31" s="2">
        <v>4</v>
      </c>
      <c r="F31" s="2" t="str">
        <f>_xlfn.XLOOKUP(C31,customers!$A$1:$A$1001,customers!$B$1:$B$1001, ,0)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3">
      <c r="A32" s="2" t="s">
        <v>661</v>
      </c>
      <c r="B32" s="3">
        <v>44464</v>
      </c>
      <c r="C32" s="2" t="s">
        <v>662</v>
      </c>
      <c r="D32" t="s">
        <v>6159</v>
      </c>
      <c r="E32" s="2">
        <v>5</v>
      </c>
      <c r="F32" s="2" t="str">
        <f>_xlfn.XLOOKUP(C32,customers!$A$1:$A$1001,customers!$B$1:$B$1001, ,0)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Middle</v>
      </c>
      <c r="P32" t="str">
        <f>_xlfn.XLOOKUP(Table1[[#This Row],[Customer ID]],customers!$A$1:$A$1001,customers!$I$1:$I$1001,,0)</f>
        <v>No</v>
      </c>
    </row>
    <row r="33" spans="1:16" x14ac:dyDescent="0.3">
      <c r="A33" s="2" t="s">
        <v>661</v>
      </c>
      <c r="B33" s="3">
        <v>44464</v>
      </c>
      <c r="C33" s="2" t="s">
        <v>662</v>
      </c>
      <c r="D33" t="s">
        <v>6158</v>
      </c>
      <c r="E33" s="2">
        <v>6</v>
      </c>
      <c r="F33" s="2" t="str">
        <f>_xlfn.XLOOKUP(C33,customers!$A$1:$A$1001,customers!$B$1:$B$1001, ,0)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ID]],customers!$A$1:$A$1001,customers!$I$1:$I$1001,,0)</f>
        <v>No</v>
      </c>
    </row>
    <row r="34" spans="1:16" x14ac:dyDescent="0.3">
      <c r="A34" s="2" t="s">
        <v>661</v>
      </c>
      <c r="B34" s="3">
        <v>44464</v>
      </c>
      <c r="C34" s="2" t="s">
        <v>662</v>
      </c>
      <c r="D34" t="s">
        <v>6160</v>
      </c>
      <c r="E34" s="2">
        <v>6</v>
      </c>
      <c r="F34" s="2" t="str">
        <f>_xlfn.XLOOKUP(C34,customers!$A$1:$A$1001,customers!$B$1:$B$1001, ,0)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Middle</v>
      </c>
      <c r="P34" t="str">
        <f>_xlfn.XLOOKUP(Table1[[#This Row],[Customer ID]],customers!$A$1:$A$1001,customers!$I$1:$I$1001,,0)</f>
        <v>No</v>
      </c>
    </row>
    <row r="35" spans="1:16" x14ac:dyDescent="0.3">
      <c r="A35" s="2" t="s">
        <v>676</v>
      </c>
      <c r="B35" s="3">
        <v>44394</v>
      </c>
      <c r="C35" s="2" t="s">
        <v>677</v>
      </c>
      <c r="D35" t="s">
        <v>6145</v>
      </c>
      <c r="E35" s="2">
        <v>5</v>
      </c>
      <c r="F35" s="2" t="str">
        <f>_xlfn.XLOOKUP(C35,customers!$A$1:$A$1001,customers!$B$1:$B$1001, ,0)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3">
      <c r="A36" s="2" t="s">
        <v>681</v>
      </c>
      <c r="B36" s="3">
        <v>44011</v>
      </c>
      <c r="C36" s="2" t="s">
        <v>682</v>
      </c>
      <c r="D36" t="s">
        <v>6161</v>
      </c>
      <c r="E36" s="2">
        <v>6</v>
      </c>
      <c r="F36" s="2" t="str">
        <f>_xlfn.XLOOKUP(C36,customers!$A$1:$A$1001,customers!$B$1:$B$1001, ,0)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ID]],customers!$A$1:$A$1001,customers!$I$1:$I$1001,,0)</f>
        <v>Yes</v>
      </c>
    </row>
    <row r="37" spans="1:16" x14ac:dyDescent="0.3">
      <c r="A37" s="2" t="s">
        <v>687</v>
      </c>
      <c r="B37" s="3">
        <v>44348</v>
      </c>
      <c r="C37" s="2" t="s">
        <v>688</v>
      </c>
      <c r="D37" t="s">
        <v>6158</v>
      </c>
      <c r="E37" s="2">
        <v>6</v>
      </c>
      <c r="F37" s="2" t="str">
        <f>_xlfn.XLOOKUP(C37,customers!$A$1:$A$1001,customers!$B$1:$B$1001, ,0)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ID]],customers!$A$1:$A$1001,customers!$I$1:$I$1001,,0)</f>
        <v>No</v>
      </c>
    </row>
    <row r="38" spans="1:16" x14ac:dyDescent="0.3">
      <c r="A38" s="2" t="s">
        <v>693</v>
      </c>
      <c r="B38" s="3">
        <v>44233</v>
      </c>
      <c r="C38" s="2" t="s">
        <v>694</v>
      </c>
      <c r="D38" t="s">
        <v>6159</v>
      </c>
      <c r="E38" s="2">
        <v>2</v>
      </c>
      <c r="F38" s="2" t="str">
        <f>_xlfn.XLOOKUP(C38,customers!$A$1:$A$1001,customers!$B$1:$B$1001, ,0)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Middle</v>
      </c>
      <c r="P38" t="str">
        <f>_xlfn.XLOOKUP(Table1[[#This Row],[Customer ID]],customers!$A$1:$A$1001,customers!$I$1:$I$1001,,0)</f>
        <v>No</v>
      </c>
    </row>
    <row r="39" spans="1:16" x14ac:dyDescent="0.3">
      <c r="A39" s="2" t="s">
        <v>699</v>
      </c>
      <c r="B39" s="3">
        <v>43580</v>
      </c>
      <c r="C39" s="2" t="s">
        <v>700</v>
      </c>
      <c r="D39" t="s">
        <v>6161</v>
      </c>
      <c r="E39" s="2">
        <v>3</v>
      </c>
      <c r="F39" s="2" t="str">
        <f>_xlfn.XLOOKUP(C39,customers!$A$1:$A$1001,customers!$B$1:$B$1001, ,0)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ID]],customers!$A$1:$A$1001,customers!$I$1:$I$1001,,0)</f>
        <v>No</v>
      </c>
    </row>
    <row r="40" spans="1:16" x14ac:dyDescent="0.3">
      <c r="A40" s="2" t="s">
        <v>705</v>
      </c>
      <c r="B40" s="3">
        <v>43946</v>
      </c>
      <c r="C40" s="2" t="s">
        <v>706</v>
      </c>
      <c r="D40" t="s">
        <v>6151</v>
      </c>
      <c r="E40" s="2">
        <v>5</v>
      </c>
      <c r="F40" s="2" t="str">
        <f>_xlfn.XLOOKUP(C40,customers!$A$1:$A$1001,customers!$B$1:$B$1001, ,0)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Middle</v>
      </c>
      <c r="P40" t="str">
        <f>_xlfn.XLOOKUP(Table1[[#This Row],[Customer ID]],customers!$A$1:$A$1001,customers!$I$1:$I$1001,,0)</f>
        <v>No</v>
      </c>
    </row>
    <row r="41" spans="1:16" x14ac:dyDescent="0.3">
      <c r="A41" s="2" t="s">
        <v>711</v>
      </c>
      <c r="B41" s="3">
        <v>44524</v>
      </c>
      <c r="C41" s="2" t="s">
        <v>712</v>
      </c>
      <c r="D41" t="s">
        <v>6138</v>
      </c>
      <c r="E41" s="2">
        <v>6</v>
      </c>
      <c r="F41" s="2" t="str">
        <f>_xlfn.XLOOKUP(C41,customers!$A$1:$A$1001,customers!$B$1:$B$1001, ,0)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Middle</v>
      </c>
      <c r="P41" t="str">
        <f>_xlfn.XLOOKUP(Table1[[#This Row],[Customer ID]],customers!$A$1:$A$1001,customers!$I$1:$I$1001,,0)</f>
        <v>Yes</v>
      </c>
    </row>
    <row r="42" spans="1:16" x14ac:dyDescent="0.3">
      <c r="A42" s="2" t="s">
        <v>715</v>
      </c>
      <c r="B42" s="3">
        <v>44305</v>
      </c>
      <c r="C42" s="2" t="s">
        <v>716</v>
      </c>
      <c r="D42" t="s">
        <v>6162</v>
      </c>
      <c r="E42" s="2">
        <v>3</v>
      </c>
      <c r="F42" s="2" t="str">
        <f>_xlfn.XLOOKUP(C42,customers!$A$1:$A$1001,customers!$B$1:$B$1001, ,0)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Middle</v>
      </c>
      <c r="P42" t="str">
        <f>_xlfn.XLOOKUP(Table1[[#This Row],[Customer ID]],customers!$A$1:$A$1001,customers!$I$1:$I$1001,,0)</f>
        <v>No</v>
      </c>
    </row>
    <row r="43" spans="1:16" x14ac:dyDescent="0.3">
      <c r="A43" s="2" t="s">
        <v>720</v>
      </c>
      <c r="B43" s="3">
        <v>44749</v>
      </c>
      <c r="C43" s="2" t="s">
        <v>721</v>
      </c>
      <c r="D43" t="s">
        <v>6153</v>
      </c>
      <c r="E43" s="2">
        <v>2</v>
      </c>
      <c r="F43" s="2" t="str">
        <f>_xlfn.XLOOKUP(C43,customers!$A$1:$A$1001,customers!$B$1:$B$1001, ,0)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ID]],customers!$A$1:$A$1001,customers!$I$1:$I$1001,,0)</f>
        <v>Yes</v>
      </c>
    </row>
    <row r="44" spans="1:16" x14ac:dyDescent="0.3">
      <c r="A44" s="2" t="s">
        <v>726</v>
      </c>
      <c r="B44" s="3">
        <v>43607</v>
      </c>
      <c r="C44" s="2" t="s">
        <v>727</v>
      </c>
      <c r="D44" t="s">
        <v>6163</v>
      </c>
      <c r="E44" s="2">
        <v>3</v>
      </c>
      <c r="F44" s="2" t="str">
        <f>_xlfn.XLOOKUP(C44,customers!$A$1:$A$1001,customers!$B$1:$B$1001, ,0)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3">
      <c r="A45" s="2" t="s">
        <v>733</v>
      </c>
      <c r="B45" s="3">
        <v>44473</v>
      </c>
      <c r="C45" s="2" t="s">
        <v>734</v>
      </c>
      <c r="D45" t="s">
        <v>6164</v>
      </c>
      <c r="E45" s="2">
        <v>2</v>
      </c>
      <c r="F45" s="2" t="str">
        <f>_xlfn.XLOOKUP(C45,customers!$A$1:$A$1001,customers!$B$1:$B$1001, ,0)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ID]],customers!$A$1:$A$1001,customers!$I$1:$I$1001,,0)</f>
        <v>No</v>
      </c>
    </row>
    <row r="46" spans="1:16" x14ac:dyDescent="0.3">
      <c r="A46" s="2" t="s">
        <v>738</v>
      </c>
      <c r="B46" s="3">
        <v>43932</v>
      </c>
      <c r="C46" s="2" t="s">
        <v>739</v>
      </c>
      <c r="D46" t="s">
        <v>6139</v>
      </c>
      <c r="E46" s="2">
        <v>2</v>
      </c>
      <c r="F46" s="2" t="str">
        <f>_xlfn.XLOOKUP(C46,customers!$A$1:$A$1001,customers!$B$1:$B$1001, ,0)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Middle</v>
      </c>
      <c r="P46" t="str">
        <f>_xlfn.XLOOKUP(Table1[[#This Row],[Customer ID]],customers!$A$1:$A$1001,customers!$I$1:$I$1001,,0)</f>
        <v>Yes</v>
      </c>
    </row>
    <row r="47" spans="1:16" x14ac:dyDescent="0.3">
      <c r="A47" s="2" t="s">
        <v>744</v>
      </c>
      <c r="B47" s="3">
        <v>44592</v>
      </c>
      <c r="C47" s="2" t="s">
        <v>745</v>
      </c>
      <c r="D47" t="s">
        <v>6165</v>
      </c>
      <c r="E47" s="2">
        <v>6</v>
      </c>
      <c r="F47" s="2" t="str">
        <f>_xlfn.XLOOKUP(C47,customers!$A$1:$A$1001,customers!$B$1:$B$1001, ,0)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3">
      <c r="A48" s="2" t="s">
        <v>750</v>
      </c>
      <c r="B48" s="3">
        <v>43776</v>
      </c>
      <c r="C48" s="2" t="s">
        <v>751</v>
      </c>
      <c r="D48" t="s">
        <v>6166</v>
      </c>
      <c r="E48" s="2">
        <v>2</v>
      </c>
      <c r="F48" s="2" t="str">
        <f>_xlfn.XLOOKUP(C48,customers!$A$1:$A$1001,customers!$B$1:$B$1001, ,0)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Middle</v>
      </c>
      <c r="P48" t="str">
        <f>_xlfn.XLOOKUP(Table1[[#This Row],[Customer ID]],customers!$A$1:$A$1001,customers!$I$1:$I$1001,,0)</f>
        <v>Yes</v>
      </c>
    </row>
    <row r="49" spans="1:16" x14ac:dyDescent="0.3">
      <c r="A49" s="2" t="s">
        <v>755</v>
      </c>
      <c r="B49" s="3">
        <v>43644</v>
      </c>
      <c r="C49" s="2" t="s">
        <v>756</v>
      </c>
      <c r="D49" t="s">
        <v>6167</v>
      </c>
      <c r="E49" s="2">
        <v>2</v>
      </c>
      <c r="F49" s="2" t="str">
        <f>_xlfn.XLOOKUP(C49,customers!$A$1:$A$1001,customers!$B$1:$B$1001, ,0)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ID]],customers!$A$1:$A$1001,customers!$I$1:$I$1001,,0)</f>
        <v>Yes</v>
      </c>
    </row>
    <row r="50" spans="1:16" x14ac:dyDescent="0.3">
      <c r="A50" s="2" t="s">
        <v>761</v>
      </c>
      <c r="B50" s="3">
        <v>44085</v>
      </c>
      <c r="C50" s="2" t="s">
        <v>762</v>
      </c>
      <c r="D50" t="s">
        <v>6168</v>
      </c>
      <c r="E50" s="2">
        <v>4</v>
      </c>
      <c r="F50" s="2" t="str">
        <f>_xlfn.XLOOKUP(C50,customers!$A$1:$A$1001,customers!$B$1:$B$1001, ,0)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3">
      <c r="A51" s="2" t="s">
        <v>766</v>
      </c>
      <c r="B51" s="3">
        <v>44790</v>
      </c>
      <c r="C51" s="2" t="s">
        <v>767</v>
      </c>
      <c r="D51" t="s">
        <v>6140</v>
      </c>
      <c r="E51" s="2">
        <v>3</v>
      </c>
      <c r="F51" s="2" t="str">
        <f>_xlfn.XLOOKUP(C51,customers!$A$1:$A$1001,customers!$B$1:$B$1001, ,0)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ID]],customers!$A$1:$A$1001,customers!$I$1:$I$1001,,0)</f>
        <v>No</v>
      </c>
    </row>
    <row r="52" spans="1:16" x14ac:dyDescent="0.3">
      <c r="A52" s="2" t="s">
        <v>772</v>
      </c>
      <c r="B52" s="3">
        <v>44792</v>
      </c>
      <c r="C52" s="2" t="s">
        <v>773</v>
      </c>
      <c r="D52" t="s">
        <v>6169</v>
      </c>
      <c r="E52" s="2">
        <v>2</v>
      </c>
      <c r="F52" s="2" t="str">
        <f>_xlfn.XLOOKUP(C52,customers!$A$1:$A$1001,customers!$B$1:$B$1001, ,0)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ID]],customers!$A$1:$A$1001,customers!$I$1:$I$1001,,0)</f>
        <v>No</v>
      </c>
    </row>
    <row r="53" spans="1:16" x14ac:dyDescent="0.3">
      <c r="A53" s="2" t="s">
        <v>778</v>
      </c>
      <c r="B53" s="3">
        <v>43600</v>
      </c>
      <c r="C53" s="2" t="s">
        <v>779</v>
      </c>
      <c r="D53" t="s">
        <v>6164</v>
      </c>
      <c r="E53" s="2">
        <v>4</v>
      </c>
      <c r="F53" s="2" t="str">
        <f>_xlfn.XLOOKUP(C53,customers!$A$1:$A$1001,customers!$B$1:$B$1001, ,0)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ID]],customers!$A$1:$A$1001,customers!$I$1:$I$1001,,0)</f>
        <v>Yes</v>
      </c>
    </row>
    <row r="54" spans="1:16" x14ac:dyDescent="0.3">
      <c r="A54" s="2" t="s">
        <v>784</v>
      </c>
      <c r="B54" s="3">
        <v>43719</v>
      </c>
      <c r="C54" s="2" t="s">
        <v>785</v>
      </c>
      <c r="D54" t="s">
        <v>6146</v>
      </c>
      <c r="E54" s="2">
        <v>5</v>
      </c>
      <c r="F54" s="2" t="str">
        <f>_xlfn.XLOOKUP(C54,customers!$A$1:$A$1001,customers!$B$1:$B$1001, ,0)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Middle</v>
      </c>
      <c r="P54" t="str">
        <f>_xlfn.XLOOKUP(Table1[[#This Row],[Customer ID]],customers!$A$1:$A$1001,customers!$I$1:$I$1001,,0)</f>
        <v>No</v>
      </c>
    </row>
    <row r="55" spans="1:16" x14ac:dyDescent="0.3">
      <c r="A55" s="2" t="s">
        <v>784</v>
      </c>
      <c r="B55" s="3">
        <v>43719</v>
      </c>
      <c r="C55" s="2" t="s">
        <v>785</v>
      </c>
      <c r="D55" t="s">
        <v>6164</v>
      </c>
      <c r="E55" s="2">
        <v>2</v>
      </c>
      <c r="F55" s="2" t="str">
        <f>_xlfn.XLOOKUP(C55,customers!$A$1:$A$1001,customers!$B$1:$B$1001, ,0)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ID]],customers!$A$1:$A$1001,customers!$I$1:$I$1001,,0)</f>
        <v>No</v>
      </c>
    </row>
    <row r="56" spans="1:16" x14ac:dyDescent="0.3">
      <c r="A56" s="2" t="s">
        <v>794</v>
      </c>
      <c r="B56" s="3">
        <v>44271</v>
      </c>
      <c r="C56" s="2" t="s">
        <v>795</v>
      </c>
      <c r="D56" t="s">
        <v>6162</v>
      </c>
      <c r="E56" s="2">
        <v>5</v>
      </c>
      <c r="F56" s="2" t="str">
        <f>_xlfn.XLOOKUP(C56,customers!$A$1:$A$1001,customers!$B$1:$B$1001, ,0)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Middle</v>
      </c>
      <c r="P56" t="str">
        <f>_xlfn.XLOOKUP(Table1[[#This Row],[Customer ID]],customers!$A$1:$A$1001,customers!$I$1:$I$1001,,0)</f>
        <v>No</v>
      </c>
    </row>
    <row r="57" spans="1:16" x14ac:dyDescent="0.3">
      <c r="A57" s="2" t="s">
        <v>800</v>
      </c>
      <c r="B57" s="3">
        <v>44168</v>
      </c>
      <c r="C57" s="2" t="s">
        <v>801</v>
      </c>
      <c r="D57" t="s">
        <v>6170</v>
      </c>
      <c r="E57" s="2">
        <v>3</v>
      </c>
      <c r="F57" s="2" t="str">
        <f>_xlfn.XLOOKUP(C57,customers!$A$1:$A$1001,customers!$B$1:$B$1001, ,0)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ID]],customers!$A$1:$A$1001,customers!$I$1:$I$1001,,0)</f>
        <v>No</v>
      </c>
    </row>
    <row r="58" spans="1:16" x14ac:dyDescent="0.3">
      <c r="A58" s="2" t="s">
        <v>805</v>
      </c>
      <c r="B58" s="3">
        <v>43857</v>
      </c>
      <c r="C58" s="2" t="s">
        <v>806</v>
      </c>
      <c r="D58" t="s">
        <v>6153</v>
      </c>
      <c r="E58" s="2">
        <v>3</v>
      </c>
      <c r="F58" s="2" t="str">
        <f>_xlfn.XLOOKUP(C58,customers!$A$1:$A$1001,customers!$B$1:$B$1001, ,0)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ID]],customers!$A$1:$A$1001,customers!$I$1:$I$1001,,0)</f>
        <v>Yes</v>
      </c>
    </row>
    <row r="59" spans="1:16" x14ac:dyDescent="0.3">
      <c r="A59" s="2" t="s">
        <v>811</v>
      </c>
      <c r="B59" s="3">
        <v>44759</v>
      </c>
      <c r="C59" s="2" t="s">
        <v>812</v>
      </c>
      <c r="D59" t="s">
        <v>6171</v>
      </c>
      <c r="E59" s="2">
        <v>4</v>
      </c>
      <c r="F59" s="2" t="str">
        <f>_xlfn.XLOOKUP(C59,customers!$A$1:$A$1001,customers!$B$1:$B$1001, ,0)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ID]],customers!$A$1:$A$1001,customers!$I$1:$I$1001,,0)</f>
        <v>No</v>
      </c>
    </row>
    <row r="60" spans="1:16" x14ac:dyDescent="0.3">
      <c r="A60" s="2" t="s">
        <v>817</v>
      </c>
      <c r="B60" s="3">
        <v>44624</v>
      </c>
      <c r="C60" s="2" t="s">
        <v>818</v>
      </c>
      <c r="D60" t="s">
        <v>6165</v>
      </c>
      <c r="E60" s="2">
        <v>3</v>
      </c>
      <c r="F60" s="2" t="str">
        <f>_xlfn.XLOOKUP(C60,customers!$A$1:$A$1001,customers!$B$1:$B$1001, ,0)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3">
      <c r="A61" s="2" t="s">
        <v>822</v>
      </c>
      <c r="B61" s="3">
        <v>44537</v>
      </c>
      <c r="C61" s="2" t="s">
        <v>823</v>
      </c>
      <c r="D61" t="s">
        <v>6160</v>
      </c>
      <c r="E61" s="2">
        <v>3</v>
      </c>
      <c r="F61" s="2" t="str">
        <f>_xlfn.XLOOKUP(C61,customers!$A$1:$A$1001,customers!$B$1:$B$1001, ,0)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Middle</v>
      </c>
      <c r="P61" t="str">
        <f>_xlfn.XLOOKUP(Table1[[#This Row],[Customer ID]],customers!$A$1:$A$1001,customers!$I$1:$I$1001,,0)</f>
        <v>Yes</v>
      </c>
    </row>
    <row r="62" spans="1:16" x14ac:dyDescent="0.3">
      <c r="A62" s="2" t="s">
        <v>827</v>
      </c>
      <c r="B62" s="3">
        <v>44252</v>
      </c>
      <c r="C62" s="2" t="s">
        <v>828</v>
      </c>
      <c r="D62" t="s">
        <v>6168</v>
      </c>
      <c r="E62" s="2">
        <v>5</v>
      </c>
      <c r="F62" s="2" t="str">
        <f>_xlfn.XLOOKUP(C62,customers!$A$1:$A$1001,customers!$B$1:$B$1001, ,0)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3">
      <c r="A63" s="2" t="s">
        <v>833</v>
      </c>
      <c r="B63" s="3">
        <v>43521</v>
      </c>
      <c r="C63" s="2" t="s">
        <v>834</v>
      </c>
      <c r="D63" t="s">
        <v>6172</v>
      </c>
      <c r="E63" s="2">
        <v>5</v>
      </c>
      <c r="F63" s="2" t="str">
        <f>_xlfn.XLOOKUP(C63,customers!$A$1:$A$1001,customers!$B$1:$B$1001, ,0)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3">
      <c r="A64" s="2" t="s">
        <v>838</v>
      </c>
      <c r="B64" s="3">
        <v>43505</v>
      </c>
      <c r="C64" s="2" t="s">
        <v>839</v>
      </c>
      <c r="D64" t="s">
        <v>6145</v>
      </c>
      <c r="E64" s="2">
        <v>5</v>
      </c>
      <c r="F64" s="2" t="str">
        <f>_xlfn.XLOOKUP(C64,customers!$A$1:$A$1001,customers!$B$1:$B$1001, ,0)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3">
      <c r="A65" s="2" t="s">
        <v>843</v>
      </c>
      <c r="B65" s="3">
        <v>43868</v>
      </c>
      <c r="C65" s="2" t="s">
        <v>844</v>
      </c>
      <c r="D65" t="s">
        <v>6157</v>
      </c>
      <c r="E65" s="2">
        <v>1</v>
      </c>
      <c r="F65" s="2" t="str">
        <f>_xlfn.XLOOKUP(C65,customers!$A$1:$A$1001,customers!$B$1:$B$1001, ,0)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Middle</v>
      </c>
      <c r="P65" t="str">
        <f>_xlfn.XLOOKUP(Table1[[#This Row],[Customer ID]],customers!$A$1:$A$1001,customers!$I$1:$I$1001,,0)</f>
        <v>No</v>
      </c>
    </row>
    <row r="66" spans="1:16" x14ac:dyDescent="0.3">
      <c r="A66" s="2" t="s">
        <v>849</v>
      </c>
      <c r="B66" s="3">
        <v>43913</v>
      </c>
      <c r="C66" s="2" t="s">
        <v>850</v>
      </c>
      <c r="D66" t="s">
        <v>6146</v>
      </c>
      <c r="E66" s="2">
        <v>6</v>
      </c>
      <c r="F66" s="2" t="str">
        <f>_xlfn.XLOOKUP(C66,customers!$A$1:$A$1001,customers!$B$1:$B$1001, ,0)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Middle</v>
      </c>
      <c r="P66" t="str">
        <f>_xlfn.XLOOKUP(Table1[[#This Row],[Customer ID]],customers!$A$1:$A$1001,customers!$I$1:$I$1001,,0)</f>
        <v>Yes</v>
      </c>
    </row>
    <row r="67" spans="1:16" x14ac:dyDescent="0.3">
      <c r="A67" s="2" t="s">
        <v>854</v>
      </c>
      <c r="B67" s="3">
        <v>44626</v>
      </c>
      <c r="C67" s="2" t="s">
        <v>855</v>
      </c>
      <c r="D67" t="s">
        <v>6149</v>
      </c>
      <c r="E67" s="2">
        <v>4</v>
      </c>
      <c r="F67" s="2" t="str">
        <f>_xlfn.XLOOKUP(C67,customers!$A$1:$A$1001,customers!$B$1:$B$1001, ,0)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IF(I67="Rob","Robusta",IF(I67="Ara","Arabica",IF(I67="Lib","Liberica",IF(I67="Exc","Excelsa",""))))</f>
        <v>Robusta</v>
      </c>
      <c r="O67" t="str">
        <f t="shared" ref="O67:O130" si="5">IF(J67="M","Middle",IF(J67="L","Light",IF(J67="D","Dark","")))</f>
        <v>Dark</v>
      </c>
      <c r="P67" t="str">
        <f>_xlfn.XLOOKUP(Table1[[#This Row],[Customer ID]],customers!$A$1:$A$1001,customers!$I$1:$I$1001,,0)</f>
        <v>Yes</v>
      </c>
    </row>
    <row r="68" spans="1:16" x14ac:dyDescent="0.3">
      <c r="A68" s="2" t="s">
        <v>860</v>
      </c>
      <c r="B68" s="3">
        <v>44666</v>
      </c>
      <c r="C68" s="2" t="s">
        <v>861</v>
      </c>
      <c r="D68" t="s">
        <v>6173</v>
      </c>
      <c r="E68" s="2">
        <v>1</v>
      </c>
      <c r="F68" s="2" t="str">
        <f>_xlfn.XLOOKUP(C68,customers!$A$1:$A$1001,customers!$B$1:$B$1001, ,0)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3">
      <c r="A69" s="2" t="s">
        <v>866</v>
      </c>
      <c r="B69" s="3">
        <v>44519</v>
      </c>
      <c r="C69" s="2" t="s">
        <v>867</v>
      </c>
      <c r="D69" t="s">
        <v>6145</v>
      </c>
      <c r="E69" s="2">
        <v>2</v>
      </c>
      <c r="F69" s="2" t="str">
        <f>_xlfn.XLOOKUP(C69,customers!$A$1:$A$1001,customers!$B$1:$B$1001, ,0)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ID]],customers!$A$1:$A$1001,customers!$I$1:$I$1001,,0)</f>
        <v>No</v>
      </c>
    </row>
    <row r="70" spans="1:16" x14ac:dyDescent="0.3">
      <c r="A70" s="2" t="s">
        <v>872</v>
      </c>
      <c r="B70" s="3">
        <v>43754</v>
      </c>
      <c r="C70" s="2" t="s">
        <v>873</v>
      </c>
      <c r="D70" t="s">
        <v>6174</v>
      </c>
      <c r="E70" s="2">
        <v>1</v>
      </c>
      <c r="F70" s="2" t="str">
        <f>_xlfn.XLOOKUP(C70,customers!$A$1:$A$1001,customers!$B$1:$B$1001, ,0)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Middle</v>
      </c>
      <c r="P70" t="str">
        <f>_xlfn.XLOOKUP(Table1[[#This Row],[Customer ID]],customers!$A$1:$A$1001,customers!$I$1:$I$1001,,0)</f>
        <v>No</v>
      </c>
    </row>
    <row r="71" spans="1:16" x14ac:dyDescent="0.3">
      <c r="A71" s="2" t="s">
        <v>878</v>
      </c>
      <c r="B71" s="3">
        <v>43795</v>
      </c>
      <c r="C71" s="2" t="s">
        <v>879</v>
      </c>
      <c r="D71" t="s">
        <v>6138</v>
      </c>
      <c r="E71" s="2">
        <v>6</v>
      </c>
      <c r="F71" s="2" t="str">
        <f>_xlfn.XLOOKUP(C71,customers!$A$1:$A$1001,customers!$B$1:$B$1001, ,0)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Middle</v>
      </c>
      <c r="P71" t="str">
        <f>_xlfn.XLOOKUP(Table1[[#This Row],[Customer ID]],customers!$A$1:$A$1001,customers!$I$1:$I$1001,,0)</f>
        <v>Yes</v>
      </c>
    </row>
    <row r="72" spans="1:16" x14ac:dyDescent="0.3">
      <c r="A72" s="2" t="s">
        <v>885</v>
      </c>
      <c r="B72" s="3">
        <v>43646</v>
      </c>
      <c r="C72" s="2" t="s">
        <v>886</v>
      </c>
      <c r="D72" t="s">
        <v>6148</v>
      </c>
      <c r="E72" s="2">
        <v>4</v>
      </c>
      <c r="F72" s="2" t="str">
        <f>_xlfn.XLOOKUP(C72,customers!$A$1:$A$1001,customers!$B$1:$B$1001, ,0)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3">
      <c r="A73" s="2" t="s">
        <v>891</v>
      </c>
      <c r="B73" s="3">
        <v>44200</v>
      </c>
      <c r="C73" s="2" t="s">
        <v>892</v>
      </c>
      <c r="D73" t="s">
        <v>6145</v>
      </c>
      <c r="E73" s="2">
        <v>2</v>
      </c>
      <c r="F73" s="2" t="str">
        <f>_xlfn.XLOOKUP(C73,customers!$A$1:$A$1001,customers!$B$1:$B$1001, ,0)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ID]],customers!$A$1:$A$1001,customers!$I$1:$I$1001,,0)</f>
        <v>No</v>
      </c>
    </row>
    <row r="74" spans="1:16" x14ac:dyDescent="0.3">
      <c r="A74" s="2" t="s">
        <v>897</v>
      </c>
      <c r="B74" s="3">
        <v>44131</v>
      </c>
      <c r="C74" s="2" t="s">
        <v>898</v>
      </c>
      <c r="D74" t="s">
        <v>6175</v>
      </c>
      <c r="E74" s="2">
        <v>3</v>
      </c>
      <c r="F74" s="2" t="str">
        <f>_xlfn.XLOOKUP(C74,customers!$A$1:$A$1001,customers!$B$1:$B$1001, ,0)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Middle</v>
      </c>
      <c r="P74" t="str">
        <f>_xlfn.XLOOKUP(Table1[[#This Row],[Customer ID]],customers!$A$1:$A$1001,customers!$I$1:$I$1001,,0)</f>
        <v>No</v>
      </c>
    </row>
    <row r="75" spans="1:16" x14ac:dyDescent="0.3">
      <c r="A75" s="2" t="s">
        <v>902</v>
      </c>
      <c r="B75" s="3">
        <v>44362</v>
      </c>
      <c r="C75" s="2" t="s">
        <v>903</v>
      </c>
      <c r="D75" t="s">
        <v>6159</v>
      </c>
      <c r="E75" s="2">
        <v>5</v>
      </c>
      <c r="F75" s="2" t="str">
        <f>_xlfn.XLOOKUP(C75,customers!$A$1:$A$1001,customers!$B$1:$B$1001, ,0)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Middle</v>
      </c>
      <c r="P75" t="str">
        <f>_xlfn.XLOOKUP(Table1[[#This Row],[Customer ID]],customers!$A$1:$A$1001,customers!$I$1:$I$1001,,0)</f>
        <v>Yes</v>
      </c>
    </row>
    <row r="76" spans="1:16" x14ac:dyDescent="0.3">
      <c r="A76" s="2" t="s">
        <v>907</v>
      </c>
      <c r="B76" s="3">
        <v>44396</v>
      </c>
      <c r="C76" s="2" t="s">
        <v>908</v>
      </c>
      <c r="D76" t="s">
        <v>6176</v>
      </c>
      <c r="E76" s="2">
        <v>2</v>
      </c>
      <c r="F76" s="2" t="str">
        <f>_xlfn.XLOOKUP(C76,customers!$A$1:$A$1001,customers!$B$1:$B$1001, ,0)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ID]],customers!$A$1:$A$1001,customers!$I$1:$I$1001,,0)</f>
        <v>Yes</v>
      </c>
    </row>
    <row r="77" spans="1:16" x14ac:dyDescent="0.3">
      <c r="A77" s="2" t="s">
        <v>913</v>
      </c>
      <c r="B77" s="3">
        <v>44400</v>
      </c>
      <c r="C77" s="2" t="s">
        <v>914</v>
      </c>
      <c r="D77" t="s">
        <v>6177</v>
      </c>
      <c r="E77" s="2">
        <v>6</v>
      </c>
      <c r="F77" s="2" t="str">
        <f>_xlfn.XLOOKUP(C77,customers!$A$1:$A$1001,customers!$B$1:$B$1001, ,0)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3">
      <c r="A78" s="2" t="s">
        <v>919</v>
      </c>
      <c r="B78" s="3">
        <v>43855</v>
      </c>
      <c r="C78" s="2" t="s">
        <v>920</v>
      </c>
      <c r="D78" t="s">
        <v>6178</v>
      </c>
      <c r="E78" s="2">
        <v>1</v>
      </c>
      <c r="F78" s="2" t="str">
        <f>_xlfn.XLOOKUP(C78,customers!$A$1:$A$1001,customers!$B$1:$B$1001, ,0)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3">
      <c r="A79" s="2" t="s">
        <v>924</v>
      </c>
      <c r="B79" s="3">
        <v>43594</v>
      </c>
      <c r="C79" s="2" t="s">
        <v>925</v>
      </c>
      <c r="D79" t="s">
        <v>6153</v>
      </c>
      <c r="E79" s="2">
        <v>2</v>
      </c>
      <c r="F79" s="2" t="str">
        <f>_xlfn.XLOOKUP(C79,customers!$A$1:$A$1001,customers!$B$1:$B$1001, ,0)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ID]],customers!$A$1:$A$1001,customers!$I$1:$I$1001,,0)</f>
        <v>No</v>
      </c>
    </row>
    <row r="80" spans="1:16" x14ac:dyDescent="0.3">
      <c r="A80" s="2" t="s">
        <v>930</v>
      </c>
      <c r="B80" s="3">
        <v>43920</v>
      </c>
      <c r="C80" s="2" t="s">
        <v>931</v>
      </c>
      <c r="D80" t="s">
        <v>6157</v>
      </c>
      <c r="E80" s="2">
        <v>6</v>
      </c>
      <c r="F80" s="2" t="str">
        <f>_xlfn.XLOOKUP(C80,customers!$A$1:$A$1001,customers!$B$1:$B$1001, ,0)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Middle</v>
      </c>
      <c r="P80" t="str">
        <f>_xlfn.XLOOKUP(Table1[[#This Row],[Customer ID]],customers!$A$1:$A$1001,customers!$I$1:$I$1001,,0)</f>
        <v>Yes</v>
      </c>
    </row>
    <row r="81" spans="1:17" x14ac:dyDescent="0.3">
      <c r="A81" s="2" t="s">
        <v>936</v>
      </c>
      <c r="B81" s="3">
        <v>44633</v>
      </c>
      <c r="C81" s="2" t="s">
        <v>937</v>
      </c>
      <c r="D81" t="s">
        <v>6179</v>
      </c>
      <c r="E81" s="2">
        <v>4</v>
      </c>
      <c r="F81" s="2" t="str">
        <f>_xlfn.XLOOKUP(C81,customers!$A$1:$A$1001,customers!$B$1:$B$1001, ,0)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ID]],customers!$A$1:$A$1001,customers!$I$1:$I$1001,,0)</f>
        <v>No</v>
      </c>
    </row>
    <row r="82" spans="1:17" x14ac:dyDescent="0.3">
      <c r="A82" s="2" t="s">
        <v>942</v>
      </c>
      <c r="B82" s="3">
        <v>43572</v>
      </c>
      <c r="C82" s="2" t="s">
        <v>943</v>
      </c>
      <c r="D82" t="s">
        <v>6180</v>
      </c>
      <c r="E82" s="2">
        <v>5</v>
      </c>
      <c r="F82" s="2" t="str">
        <f>_xlfn.XLOOKUP(C82,customers!$A$1:$A$1001,customers!$B$1:$B$1001, ,0)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ID]],customers!$A$1:$A$1001,customers!$I$1:$I$1001,,0)</f>
        <v>Yes</v>
      </c>
    </row>
    <row r="83" spans="1:17" x14ac:dyDescent="0.3">
      <c r="A83" s="2" t="s">
        <v>948</v>
      </c>
      <c r="B83" s="3">
        <v>43763</v>
      </c>
      <c r="C83" s="2" t="s">
        <v>949</v>
      </c>
      <c r="D83" t="s">
        <v>6164</v>
      </c>
      <c r="E83" s="2">
        <v>3</v>
      </c>
      <c r="F83" s="2" t="str">
        <f>_xlfn.XLOOKUP(C83,customers!$A$1:$A$1001,customers!$B$1:$B$1001, ,0)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ID]],customers!$A$1:$A$1001,customers!$I$1:$I$1001,,0)</f>
        <v>Yes</v>
      </c>
    </row>
    <row r="84" spans="1:17" x14ac:dyDescent="0.3">
      <c r="A84" s="2" t="s">
        <v>954</v>
      </c>
      <c r="B84" s="3">
        <v>43721</v>
      </c>
      <c r="C84" s="2" t="s">
        <v>955</v>
      </c>
      <c r="D84" t="s">
        <v>6181</v>
      </c>
      <c r="E84" s="2">
        <v>3</v>
      </c>
      <c r="F84" s="2" t="str">
        <f>_xlfn.XLOOKUP(C84,customers!$A$1:$A$1001,customers!$B$1:$B$1001, ,0)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Middle</v>
      </c>
      <c r="P84" t="str">
        <f>_xlfn.XLOOKUP(Table1[[#This Row],[Customer ID]],customers!$A$1:$A$1001,customers!$I$1:$I$1001,,0)</f>
        <v>Yes</v>
      </c>
    </row>
    <row r="85" spans="1:17" x14ac:dyDescent="0.3">
      <c r="A85" s="2" t="s">
        <v>960</v>
      </c>
      <c r="B85" s="3">
        <v>43933</v>
      </c>
      <c r="C85" s="2" t="s">
        <v>961</v>
      </c>
      <c r="D85" t="s">
        <v>6149</v>
      </c>
      <c r="E85" s="2">
        <v>4</v>
      </c>
      <c r="F85" s="2" t="str">
        <f>_xlfn.XLOOKUP(C85,customers!$A$1:$A$1001,customers!$B$1:$B$1001, ,0)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ID]],customers!$A$1:$A$1001,customers!$I$1:$I$1001,,0)</f>
        <v>Yes</v>
      </c>
    </row>
    <row r="86" spans="1:17" x14ac:dyDescent="0.3">
      <c r="A86" s="2" t="s">
        <v>965</v>
      </c>
      <c r="B86" s="3">
        <v>43783</v>
      </c>
      <c r="C86" s="2" t="s">
        <v>966</v>
      </c>
      <c r="D86" t="s">
        <v>6161</v>
      </c>
      <c r="E86" s="2">
        <v>1</v>
      </c>
      <c r="F86" s="2" t="str">
        <f>_xlfn.XLOOKUP(C86,customers!$A$1:$A$1001,customers!$B$1:$B$1001, ,0)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ID]],customers!$A$1:$A$1001,customers!$I$1:$I$1001,,0)</f>
        <v>No</v>
      </c>
    </row>
    <row r="87" spans="1:17" x14ac:dyDescent="0.3">
      <c r="A87" s="2" t="s">
        <v>971</v>
      </c>
      <c r="B87" s="3">
        <v>43664</v>
      </c>
      <c r="C87" s="2" t="s">
        <v>972</v>
      </c>
      <c r="D87" t="s">
        <v>6182</v>
      </c>
      <c r="E87" s="2">
        <v>3</v>
      </c>
      <c r="F87" s="2" t="str">
        <f>_xlfn.XLOOKUP(C87,customers!$A$1:$A$1001,customers!$B$1:$B$1001, ,0)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ID]],customers!$A$1:$A$1001,customers!$I$1:$I$1001,,0)</f>
        <v>No</v>
      </c>
    </row>
    <row r="88" spans="1:17" x14ac:dyDescent="0.3">
      <c r="A88" s="2" t="s">
        <v>971</v>
      </c>
      <c r="B88" s="3">
        <v>43664</v>
      </c>
      <c r="C88" s="2" t="s">
        <v>972</v>
      </c>
      <c r="D88" t="s">
        <v>6154</v>
      </c>
      <c r="E88" s="2">
        <v>4</v>
      </c>
      <c r="F88" s="2" t="str">
        <f>_xlfn.XLOOKUP(C88,customers!$A$1:$A$1001,customers!$B$1:$B$1001, ,0)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ID]],customers!$A$1:$A$1001,customers!$I$1:$I$1001,,0)</f>
        <v>No</v>
      </c>
    </row>
    <row r="89" spans="1:17" x14ac:dyDescent="0.3">
      <c r="A89" s="2" t="s">
        <v>980</v>
      </c>
      <c r="B89" s="3">
        <v>44289</v>
      </c>
      <c r="C89" s="2" t="s">
        <v>981</v>
      </c>
      <c r="D89" t="s">
        <v>6155</v>
      </c>
      <c r="E89" s="2">
        <v>3</v>
      </c>
      <c r="F89" s="2" t="str">
        <f>_xlfn.XLOOKUP(C89,customers!$A$1:$A$1001,customers!$B$1:$B$1001, ,0)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Middle</v>
      </c>
      <c r="P89" t="str">
        <f>_xlfn.XLOOKUP(Table1[[#This Row],[Customer ID]],customers!$A$1:$A$1001,customers!$I$1:$I$1001,,0)</f>
        <v>No</v>
      </c>
    </row>
    <row r="90" spans="1:17" x14ac:dyDescent="0.3">
      <c r="A90" s="2" t="s">
        <v>985</v>
      </c>
      <c r="B90" s="3">
        <v>44284</v>
      </c>
      <c r="C90" s="2" t="s">
        <v>986</v>
      </c>
      <c r="D90" t="s">
        <v>6179</v>
      </c>
      <c r="E90" s="2">
        <v>3</v>
      </c>
      <c r="F90" s="2" t="str">
        <f>_xlfn.XLOOKUP(C90,customers!$A$1:$A$1001,customers!$B$1:$B$1001, ,0)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ID]],customers!$A$1:$A$1001,customers!$I$1:$I$1001,,0)</f>
        <v>No</v>
      </c>
    </row>
    <row r="91" spans="1:17" x14ac:dyDescent="0.3">
      <c r="A91" s="2" t="s">
        <v>990</v>
      </c>
      <c r="B91" s="3">
        <v>44545</v>
      </c>
      <c r="C91" s="2" t="s">
        <v>991</v>
      </c>
      <c r="D91" t="s">
        <v>6140</v>
      </c>
      <c r="E91" s="2">
        <v>6</v>
      </c>
      <c r="F91" s="2" t="str">
        <f>_xlfn.XLOOKUP(C91,customers!$A$1:$A$1001,customers!$B$1:$B$1001, ,0)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ID]],customers!$A$1:$A$1001,customers!$I$1:$I$1001,,0)</f>
        <v>No</v>
      </c>
    </row>
    <row r="92" spans="1:17" x14ac:dyDescent="0.3">
      <c r="A92" s="2" t="s">
        <v>996</v>
      </c>
      <c r="B92" s="3">
        <v>43971</v>
      </c>
      <c r="C92" s="2" t="s">
        <v>997</v>
      </c>
      <c r="D92" t="s">
        <v>6140</v>
      </c>
      <c r="E92" s="2">
        <v>4</v>
      </c>
      <c r="F92" s="2" t="str">
        <f>_xlfn.XLOOKUP(C92,customers!$A$1:$A$1001,customers!$B$1:$B$1001, ,0)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ID]],customers!$A$1:$A$1001,customers!$I$1:$I$1001,,0)</f>
        <v>Yes</v>
      </c>
    </row>
    <row r="93" spans="1:17" x14ac:dyDescent="0.3">
      <c r="A93" s="2" t="s">
        <v>1001</v>
      </c>
      <c r="B93" s="3">
        <v>44137</v>
      </c>
      <c r="C93" s="2" t="s">
        <v>1002</v>
      </c>
      <c r="D93" t="s">
        <v>6175</v>
      </c>
      <c r="E93" s="2">
        <v>4</v>
      </c>
      <c r="F93" s="2" t="str">
        <f>_xlfn.XLOOKUP(C93,customers!$A$1:$A$1001,customers!$B$1:$B$1001, ,0)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Middle</v>
      </c>
      <c r="P93" t="str">
        <f>_xlfn.XLOOKUP(Table1[[#This Row],[Customer ID]],customers!$A$1:$A$1001,customers!$I$1:$I$1001,,0)</f>
        <v>No</v>
      </c>
    </row>
    <row r="94" spans="1:17" x14ac:dyDescent="0.3">
      <c r="A94" s="2" t="s">
        <v>1007</v>
      </c>
      <c r="B94" s="3">
        <v>44037</v>
      </c>
      <c r="C94" s="2" t="s">
        <v>1008</v>
      </c>
      <c r="D94" t="s">
        <v>6171</v>
      </c>
      <c r="E94" s="2">
        <v>3</v>
      </c>
      <c r="F94" s="2" t="str">
        <f>_xlfn.XLOOKUP(C94,customers!$A$1:$A$1001,customers!$B$1:$B$1001, ,0)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ID]],customers!$A$1:$A$1001,customers!$I$1:$I$1001,,0)</f>
        <v>Yes</v>
      </c>
      <c r="Q94" t="e" cm="1">
        <f t="array" aca="1" ref="Q94" ca="1">COUNTUNIQUE(K94:P94)</f>
        <v>#NAME?</v>
      </c>
    </row>
    <row r="95" spans="1:17" x14ac:dyDescent="0.3">
      <c r="A95" s="2" t="s">
        <v>1012</v>
      </c>
      <c r="B95" s="3">
        <v>43538</v>
      </c>
      <c r="C95" s="2" t="s">
        <v>1013</v>
      </c>
      <c r="D95" t="s">
        <v>6176</v>
      </c>
      <c r="E95" s="2">
        <v>4</v>
      </c>
      <c r="F95" s="2" t="str">
        <f>_xlfn.XLOOKUP(C95,customers!$A$1:$A$1001,customers!$B$1:$B$1001, ,0)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ID]],customers!$A$1:$A$1001,customers!$I$1:$I$1001,,0)</f>
        <v>Yes</v>
      </c>
    </row>
    <row r="96" spans="1:17" x14ac:dyDescent="0.3">
      <c r="A96" s="2" t="s">
        <v>1018</v>
      </c>
      <c r="B96" s="3">
        <v>44014</v>
      </c>
      <c r="C96" s="2" t="s">
        <v>1019</v>
      </c>
      <c r="D96" t="s">
        <v>6154</v>
      </c>
      <c r="E96" s="2">
        <v>6</v>
      </c>
      <c r="F96" s="2" t="str">
        <f>_xlfn.XLOOKUP(C96,customers!$A$1:$A$1001,customers!$B$1:$B$1001, ,0)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ID]],customers!$A$1:$A$1001,customers!$I$1:$I$1001,,0)</f>
        <v>Yes</v>
      </c>
    </row>
    <row r="97" spans="1:16" x14ac:dyDescent="0.3">
      <c r="A97" s="2" t="s">
        <v>1022</v>
      </c>
      <c r="B97" s="3">
        <v>43816</v>
      </c>
      <c r="C97" s="2" t="s">
        <v>1023</v>
      </c>
      <c r="D97" t="s">
        <v>6175</v>
      </c>
      <c r="E97" s="2">
        <v>6</v>
      </c>
      <c r="F97" s="2" t="str">
        <f>_xlfn.XLOOKUP(C97,customers!$A$1:$A$1001,customers!$B$1:$B$1001, ,0)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Middle</v>
      </c>
      <c r="P97" t="str">
        <f>_xlfn.XLOOKUP(Table1[[#This Row],[Customer ID]],customers!$A$1:$A$1001,customers!$I$1:$I$1001,,0)</f>
        <v>No</v>
      </c>
    </row>
    <row r="98" spans="1:16" x14ac:dyDescent="0.3">
      <c r="A98" s="2" t="s">
        <v>1027</v>
      </c>
      <c r="B98" s="3">
        <v>44171</v>
      </c>
      <c r="C98" s="2" t="s">
        <v>1028</v>
      </c>
      <c r="D98" t="s">
        <v>6154</v>
      </c>
      <c r="E98" s="2">
        <v>2</v>
      </c>
      <c r="F98" s="2" t="str">
        <f>_xlfn.XLOOKUP(C98,customers!$A$1:$A$1001,customers!$B$1:$B$1001, ,0)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ID]],customers!$A$1:$A$1001,customers!$I$1:$I$1001,,0)</f>
        <v>No</v>
      </c>
    </row>
    <row r="99" spans="1:16" x14ac:dyDescent="0.3">
      <c r="A99" s="2" t="s">
        <v>1032</v>
      </c>
      <c r="B99" s="3">
        <v>44259</v>
      </c>
      <c r="C99" s="2" t="s">
        <v>1033</v>
      </c>
      <c r="D99" t="s">
        <v>6157</v>
      </c>
      <c r="E99" s="2">
        <v>2</v>
      </c>
      <c r="F99" s="2" t="str">
        <f>_xlfn.XLOOKUP(C99,customers!$A$1:$A$1001,customers!$B$1:$B$1001, ,0)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Middle</v>
      </c>
      <c r="P99" t="str">
        <f>_xlfn.XLOOKUP(Table1[[#This Row],[Customer ID]],customers!$A$1:$A$1001,customers!$I$1:$I$1001,,0)</f>
        <v>No</v>
      </c>
    </row>
    <row r="100" spans="1:16" x14ac:dyDescent="0.3">
      <c r="A100" s="2" t="s">
        <v>1038</v>
      </c>
      <c r="B100" s="3">
        <v>44394</v>
      </c>
      <c r="C100" s="2" t="s">
        <v>1039</v>
      </c>
      <c r="D100" t="s">
        <v>6154</v>
      </c>
      <c r="E100" s="2">
        <v>1</v>
      </c>
      <c r="F100" s="2" t="str">
        <f>_xlfn.XLOOKUP(C100,customers!$A$1:$A$1001,customers!$B$1:$B$1001, ,0)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3">
      <c r="A101" s="2" t="s">
        <v>1043</v>
      </c>
      <c r="B101" s="3">
        <v>44139</v>
      </c>
      <c r="C101" s="2" t="s">
        <v>1044</v>
      </c>
      <c r="D101" t="s">
        <v>6159</v>
      </c>
      <c r="E101" s="2">
        <v>3</v>
      </c>
      <c r="F101" s="2" t="str">
        <f>_xlfn.XLOOKUP(C101,customers!$A$1:$A$1001,customers!$B$1:$B$1001, ,0)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Middle</v>
      </c>
      <c r="P101" t="str">
        <f>_xlfn.XLOOKUP(Table1[[#This Row],[Customer ID]],customers!$A$1:$A$1001,customers!$I$1:$I$1001,,0)</f>
        <v>Yes</v>
      </c>
    </row>
    <row r="102" spans="1:16" x14ac:dyDescent="0.3">
      <c r="A102" s="2" t="s">
        <v>1048</v>
      </c>
      <c r="B102" s="3">
        <v>44291</v>
      </c>
      <c r="C102" s="2" t="s">
        <v>1049</v>
      </c>
      <c r="D102" t="s">
        <v>6167</v>
      </c>
      <c r="E102" s="2">
        <v>2</v>
      </c>
      <c r="F102" s="2" t="str">
        <f>_xlfn.XLOOKUP(C102,customers!$A$1:$A$1001,customers!$B$1:$B$1001, ,0)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_xlfn.XLOOKUP(C103,customers!$A$1:$A$1001,customers!$B$1:$B$1001, ,0)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_xlfn.XLOOKUP(C104,customers!$A$1:$A$1001,customers!$B$1:$B$1001, ,0)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_xlfn.XLOOKUP(C105,customers!$A$1:$A$1001,customers!$B$1:$B$1001, ,0)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Middle</v>
      </c>
      <c r="P105" t="str">
        <f>_xlfn.XLOOKUP(Table1[[#This Row],[Customer ID]],customers!$A$1:$A$1001,customers!$I$1:$I$1001,,0)</f>
        <v>No</v>
      </c>
    </row>
    <row r="106" spans="1:16" x14ac:dyDescent="0.3">
      <c r="A106" s="2" t="s">
        <v>1071</v>
      </c>
      <c r="B106" s="3">
        <v>43694</v>
      </c>
      <c r="C106" s="2" t="s">
        <v>1072</v>
      </c>
      <c r="D106" t="s">
        <v>6162</v>
      </c>
      <c r="E106" s="2">
        <v>6</v>
      </c>
      <c r="F106" s="2" t="str">
        <f>_xlfn.XLOOKUP(C106,customers!$A$1:$A$1001,customers!$B$1:$B$1001, ,0)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Middle</v>
      </c>
      <c r="P106" t="str">
        <f>_xlfn.XLOOKUP(Table1[[#This Row],[Customer ID]],customers!$A$1:$A$1001,customers!$I$1:$I$1001,,0)</f>
        <v>No</v>
      </c>
    </row>
    <row r="107" spans="1:16" x14ac:dyDescent="0.3">
      <c r="A107" s="2" t="s">
        <v>1077</v>
      </c>
      <c r="B107" s="3">
        <v>43982</v>
      </c>
      <c r="C107" s="2" t="s">
        <v>1078</v>
      </c>
      <c r="D107" t="s">
        <v>6157</v>
      </c>
      <c r="E107" s="2">
        <v>6</v>
      </c>
      <c r="F107" s="2" t="str">
        <f>_xlfn.XLOOKUP(C107,customers!$A$1:$A$1001,customers!$B$1:$B$1001, ,0)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Middle</v>
      </c>
      <c r="P107" t="str">
        <f>_xlfn.XLOOKUP(Table1[[#This Row],[Customer ID]],customers!$A$1:$A$1001,customers!$I$1:$I$1001,,0)</f>
        <v>Yes</v>
      </c>
    </row>
    <row r="108" spans="1:16" x14ac:dyDescent="0.3">
      <c r="A108" s="2" t="s">
        <v>1083</v>
      </c>
      <c r="B108" s="3">
        <v>43956</v>
      </c>
      <c r="C108" s="2" t="s">
        <v>1084</v>
      </c>
      <c r="D108" t="s">
        <v>6183</v>
      </c>
      <c r="E108" s="2">
        <v>2</v>
      </c>
      <c r="F108" s="2" t="str">
        <f>_xlfn.XLOOKUP(C108,customers!$A$1:$A$1001,customers!$B$1:$B$1001, ,0)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ID]],customers!$A$1:$A$1001,customers!$I$1:$I$1001,,0)</f>
        <v>No</v>
      </c>
    </row>
    <row r="109" spans="1:16" x14ac:dyDescent="0.3">
      <c r="A109" s="2" t="s">
        <v>1089</v>
      </c>
      <c r="B109" s="3">
        <v>43569</v>
      </c>
      <c r="C109" s="2" t="s">
        <v>1090</v>
      </c>
      <c r="D109" t="s">
        <v>6146</v>
      </c>
      <c r="E109" s="2">
        <v>3</v>
      </c>
      <c r="F109" s="2" t="str">
        <f>_xlfn.XLOOKUP(C109,customers!$A$1:$A$1001,customers!$B$1:$B$1001, ,0)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Middle</v>
      </c>
      <c r="P109" t="str">
        <f>_xlfn.XLOOKUP(Table1[[#This Row],[Customer ID]],customers!$A$1:$A$1001,customers!$I$1:$I$1001,,0)</f>
        <v>Yes</v>
      </c>
    </row>
    <row r="110" spans="1:16" x14ac:dyDescent="0.3">
      <c r="A110" s="2" t="s">
        <v>1095</v>
      </c>
      <c r="B110" s="3">
        <v>44041</v>
      </c>
      <c r="C110" s="2" t="s">
        <v>1096</v>
      </c>
      <c r="D110" t="s">
        <v>6157</v>
      </c>
      <c r="E110" s="2">
        <v>4</v>
      </c>
      <c r="F110" s="2" t="str">
        <f>_xlfn.XLOOKUP(C110,customers!$A$1:$A$1001,customers!$B$1:$B$1001, ,0)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Middle</v>
      </c>
      <c r="P110" t="str">
        <f>_xlfn.XLOOKUP(Table1[[#This Row],[Customer ID]],customers!$A$1:$A$1001,customers!$I$1:$I$1001,,0)</f>
        <v>No</v>
      </c>
    </row>
    <row r="111" spans="1:16" x14ac:dyDescent="0.3">
      <c r="A111" s="2" t="s">
        <v>1100</v>
      </c>
      <c r="B111" s="3">
        <v>43811</v>
      </c>
      <c r="C111" s="2" t="s">
        <v>1101</v>
      </c>
      <c r="D111" t="s">
        <v>6169</v>
      </c>
      <c r="E111" s="2">
        <v>1</v>
      </c>
      <c r="F111" s="2" t="str">
        <f>_xlfn.XLOOKUP(C111,customers!$A$1:$A$1001,customers!$B$1:$B$1001, ,0)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_xlfn.XLOOKUP(C112,customers!$A$1:$A$1001,customers!$B$1:$B$1001, ,0)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_xlfn.XLOOKUP(C113,customers!$A$1:$A$1001,customers!$B$1:$B$1001, ,0)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3">
      <c r="A114" s="2" t="s">
        <v>1117</v>
      </c>
      <c r="B114" s="3">
        <v>44481</v>
      </c>
      <c r="C114" s="2" t="s">
        <v>1118</v>
      </c>
      <c r="D114" t="s">
        <v>6155</v>
      </c>
      <c r="E114" s="2">
        <v>1</v>
      </c>
      <c r="F114" s="2" t="str">
        <f>_xlfn.XLOOKUP(C114,customers!$A$1:$A$1001,customers!$B$1:$B$1001, ,0)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Middle</v>
      </c>
      <c r="P114" t="str">
        <f>_xlfn.XLOOKUP(Table1[[#This Row],[Customer ID]],customers!$A$1:$A$1001,customers!$I$1:$I$1001,,0)</f>
        <v>No</v>
      </c>
    </row>
    <row r="115" spans="1:16" x14ac:dyDescent="0.3">
      <c r="A115" s="2" t="s">
        <v>1123</v>
      </c>
      <c r="B115" s="3">
        <v>43556</v>
      </c>
      <c r="C115" s="2" t="s">
        <v>1124</v>
      </c>
      <c r="D115" t="s">
        <v>6162</v>
      </c>
      <c r="E115" s="2">
        <v>1</v>
      </c>
      <c r="F115" s="2" t="str">
        <f>_xlfn.XLOOKUP(C115,customers!$A$1:$A$1001,customers!$B$1:$B$1001, ,0)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Middle</v>
      </c>
      <c r="P115" t="str">
        <f>_xlfn.XLOOKUP(Table1[[#This Row],[Customer ID]],customers!$A$1:$A$1001,customers!$I$1:$I$1001,,0)</f>
        <v>No</v>
      </c>
    </row>
    <row r="116" spans="1:16" x14ac:dyDescent="0.3">
      <c r="A116" s="2" t="s">
        <v>1129</v>
      </c>
      <c r="B116" s="3">
        <v>44265</v>
      </c>
      <c r="C116" s="2" t="s">
        <v>1130</v>
      </c>
      <c r="D116" t="s">
        <v>6178</v>
      </c>
      <c r="E116" s="2">
        <v>4</v>
      </c>
      <c r="F116" s="2" t="str">
        <f>_xlfn.XLOOKUP(C116,customers!$A$1:$A$1001,customers!$B$1:$B$1001, ,0)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_xlfn.XLOOKUP(C117,customers!$A$1:$A$1001,customers!$B$1:$B$1001, ,0)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_xlfn.XLOOKUP(C118,customers!$A$1:$A$1001,customers!$B$1:$B$1001, ,0)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_xlfn.XLOOKUP(C119,customers!$A$1:$A$1001,customers!$B$1:$B$1001, ,0)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_xlfn.XLOOKUP(C120,customers!$A$1:$A$1001,customers!$B$1:$B$1001, ,0)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_xlfn.XLOOKUP(C121,customers!$A$1:$A$1001,customers!$B$1:$B$1001, ,0)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Middle</v>
      </c>
      <c r="P121" t="str">
        <f>_xlfn.XLOOKUP(Table1[[#This Row],[Customer ID]],customers!$A$1:$A$1001,customers!$I$1:$I$1001,,0)</f>
        <v>No</v>
      </c>
    </row>
    <row r="122" spans="1:16" x14ac:dyDescent="0.3">
      <c r="A122" s="2" t="s">
        <v>1158</v>
      </c>
      <c r="B122" s="3">
        <v>44471</v>
      </c>
      <c r="C122" s="2" t="s">
        <v>1159</v>
      </c>
      <c r="D122" t="s">
        <v>6167</v>
      </c>
      <c r="E122" s="2">
        <v>1</v>
      </c>
      <c r="F122" s="2" t="str">
        <f>_xlfn.XLOOKUP(C122,customers!$A$1:$A$1001,customers!$B$1:$B$1001, ,0)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_xlfn.XLOOKUP(C123,customers!$A$1:$A$1001,customers!$B$1:$B$1001, ,0)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Middle</v>
      </c>
      <c r="P123" t="str">
        <f>_xlfn.XLOOKUP(Table1[[#This Row],[Customer ID]],customers!$A$1:$A$1001,customers!$I$1:$I$1001,,0)</f>
        <v>No</v>
      </c>
    </row>
    <row r="124" spans="1:16" x14ac:dyDescent="0.3">
      <c r="A124" s="2" t="s">
        <v>1174</v>
      </c>
      <c r="B124" s="3">
        <v>44268</v>
      </c>
      <c r="C124" s="2" t="s">
        <v>1175</v>
      </c>
      <c r="D124" t="s">
        <v>6158</v>
      </c>
      <c r="E124" s="2">
        <v>4</v>
      </c>
      <c r="F124" s="2" t="str">
        <f>_xlfn.XLOOKUP(C124,customers!$A$1:$A$1001,customers!$B$1:$B$1001, ,0)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_xlfn.XLOOKUP(C125,customers!$A$1:$A$1001,customers!$B$1:$B$1001, ,0)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_xlfn.XLOOKUP(C126,customers!$A$1:$A$1001,customers!$B$1:$B$1001, ,0)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Middle</v>
      </c>
      <c r="P126" t="str">
        <f>_xlfn.XLOOKUP(Table1[[#This Row],[Customer ID]],customers!$A$1:$A$1001,customers!$I$1:$I$1001,,0)</f>
        <v>Yes</v>
      </c>
    </row>
    <row r="127" spans="1:16" x14ac:dyDescent="0.3">
      <c r="A127" s="2" t="s">
        <v>1192</v>
      </c>
      <c r="B127" s="3">
        <v>43608</v>
      </c>
      <c r="C127" s="2" t="s">
        <v>1193</v>
      </c>
      <c r="D127" t="s">
        <v>6160</v>
      </c>
      <c r="E127" s="2">
        <v>3</v>
      </c>
      <c r="F127" s="2" t="str">
        <f>_xlfn.XLOOKUP(C127,customers!$A$1:$A$1001,customers!$B$1:$B$1001, ,0)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Middle</v>
      </c>
      <c r="P127" t="str">
        <f>_xlfn.XLOOKUP(Table1[[#This Row],[Customer ID]],customers!$A$1:$A$1001,customers!$I$1:$I$1001,,0)</f>
        <v>Yes</v>
      </c>
    </row>
    <row r="128" spans="1:16" x14ac:dyDescent="0.3">
      <c r="A128" s="2" t="s">
        <v>1198</v>
      </c>
      <c r="B128" s="3">
        <v>44026</v>
      </c>
      <c r="C128" s="2" t="s">
        <v>1199</v>
      </c>
      <c r="D128" t="s">
        <v>6155</v>
      </c>
      <c r="E128" s="2">
        <v>1</v>
      </c>
      <c r="F128" s="2" t="str">
        <f>_xlfn.XLOOKUP(C128,customers!$A$1:$A$1001,customers!$B$1:$B$1001, ,0)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Middle</v>
      </c>
      <c r="P128" t="str">
        <f>_xlfn.XLOOKUP(Table1[[#This Row],[Customer ID]],customers!$A$1:$A$1001,customers!$I$1:$I$1001,,0)</f>
        <v>No</v>
      </c>
    </row>
    <row r="129" spans="1:16" x14ac:dyDescent="0.3">
      <c r="A129" s="2" t="s">
        <v>1204</v>
      </c>
      <c r="B129" s="3">
        <v>44510</v>
      </c>
      <c r="C129" s="2" t="s">
        <v>1205</v>
      </c>
      <c r="D129" t="s">
        <v>6143</v>
      </c>
      <c r="E129" s="2">
        <v>6</v>
      </c>
      <c r="F129" s="2" t="str">
        <f>_xlfn.XLOOKUP(C129,customers!$A$1:$A$1001,customers!$B$1:$B$1001, ,0)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ID]],customers!$A$1:$A$1001,customers!$I$1:$I$1001,,0)</f>
        <v>No</v>
      </c>
    </row>
    <row r="130" spans="1:16" x14ac:dyDescent="0.3">
      <c r="A130" s="2" t="s">
        <v>1210</v>
      </c>
      <c r="B130" s="3">
        <v>44439</v>
      </c>
      <c r="C130" s="2" t="s">
        <v>1211</v>
      </c>
      <c r="D130" t="s">
        <v>6157</v>
      </c>
      <c r="E130" s="2">
        <v>1</v>
      </c>
      <c r="F130" s="2" t="str">
        <f>_xlfn.XLOOKUP(C130,customers!$A$1:$A$1001,customers!$B$1:$B$1001, ,0)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Middle</v>
      </c>
      <c r="P130" t="str">
        <f>_xlfn.XLOOKUP(Table1[[#This Row],[Customer ID]],customers!$A$1:$A$1001,customers!$I$1:$I$1001,,0)</f>
        <v>No</v>
      </c>
    </row>
    <row r="131" spans="1:16" x14ac:dyDescent="0.3">
      <c r="A131" s="2" t="s">
        <v>1216</v>
      </c>
      <c r="B131" s="3">
        <v>43652</v>
      </c>
      <c r="C131" s="2" t="s">
        <v>1217</v>
      </c>
      <c r="D131" t="s">
        <v>6183</v>
      </c>
      <c r="E131" s="2">
        <v>1</v>
      </c>
      <c r="F131" s="2" t="str">
        <f>_xlfn.XLOOKUP(C131,customers!$A$1:$A$1001,customers!$B$1:$B$1001, ,0)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IF(I131="Rob","Robusta",IF(I131="Ara","Arabica",IF(I131="Lib","Liberica",IF(I131="Exc","Excelsa",""))))</f>
        <v>Excelsa</v>
      </c>
      <c r="O131" t="str">
        <f t="shared" ref="O131:O194" si="8">IF(J131="M","Middle",IF(J131="L","Light",IF(J131="D","Dark","")))</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_xlfn.XLOOKUP(C132,customers!$A$1:$A$1001,customers!$B$1:$B$1001, ,0)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_xlfn.XLOOKUP(C133,customers!$A$1:$A$1001,customers!$B$1:$B$1001, ,0)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_xlfn.XLOOKUP(C134,customers!$A$1:$A$1001,customers!$B$1:$B$1001, ,0)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_xlfn.XLOOKUP(C135,customers!$A$1:$A$1001,customers!$B$1:$B$1001, ,0)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ID]],customers!$A$1:$A$1001,customers!$I$1:$I$1001,,0)</f>
        <v>No</v>
      </c>
    </row>
    <row r="136" spans="1:16" x14ac:dyDescent="0.3">
      <c r="A136" s="2" t="s">
        <v>1245</v>
      </c>
      <c r="B136" s="3">
        <v>44758</v>
      </c>
      <c r="C136" s="2" t="s">
        <v>1246</v>
      </c>
      <c r="D136" t="s">
        <v>6166</v>
      </c>
      <c r="E136" s="2">
        <v>3</v>
      </c>
      <c r="F136" s="2" t="str">
        <f>_xlfn.XLOOKUP(C136,customers!$A$1:$A$1001,customers!$B$1:$B$1001, ,0)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Middle</v>
      </c>
      <c r="P136" t="str">
        <f>_xlfn.XLOOKUP(Table1[[#This Row],[Customer ID]],customers!$A$1:$A$1001,customers!$I$1:$I$1001,,0)</f>
        <v>Yes</v>
      </c>
    </row>
    <row r="137" spans="1:16" x14ac:dyDescent="0.3">
      <c r="A137" s="2" t="s">
        <v>1249</v>
      </c>
      <c r="B137" s="3">
        <v>44232</v>
      </c>
      <c r="C137" s="2" t="s">
        <v>976</v>
      </c>
      <c r="D137" t="s">
        <v>6180</v>
      </c>
      <c r="E137" s="2">
        <v>5</v>
      </c>
      <c r="F137" s="2" t="str">
        <f>_xlfn.XLOOKUP(C137,customers!$A$1:$A$1001,customers!$B$1:$B$1001, ,0)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_xlfn.XLOOKUP(C138,customers!$A$1:$A$1001,customers!$B$1:$B$1001, ,0)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ID]],customers!$A$1:$A$1001,customers!$I$1:$I$1001,,0)</f>
        <v>No</v>
      </c>
    </row>
    <row r="139" spans="1:16" x14ac:dyDescent="0.3">
      <c r="A139" s="2" t="s">
        <v>1261</v>
      </c>
      <c r="B139" s="3">
        <v>44637</v>
      </c>
      <c r="C139" s="2" t="s">
        <v>1262</v>
      </c>
      <c r="D139" t="s">
        <v>6148</v>
      </c>
      <c r="E139" s="2">
        <v>3</v>
      </c>
      <c r="F139" s="2" t="str">
        <f>_xlfn.XLOOKUP(C139,customers!$A$1:$A$1001,customers!$B$1:$B$1001, ,0)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_xlfn.XLOOKUP(C140,customers!$A$1:$A$1001,customers!$B$1:$B$1001, ,0)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ID]],customers!$A$1:$A$1001,customers!$I$1:$I$1001,,0)</f>
        <v>No</v>
      </c>
    </row>
    <row r="141" spans="1:16" x14ac:dyDescent="0.3">
      <c r="A141" s="2" t="s">
        <v>1271</v>
      </c>
      <c r="B141" s="3">
        <v>43509</v>
      </c>
      <c r="C141" s="2" t="s">
        <v>1272</v>
      </c>
      <c r="D141" t="s">
        <v>6143</v>
      </c>
      <c r="E141" s="2">
        <v>6</v>
      </c>
      <c r="F141" s="2" t="str">
        <f>_xlfn.XLOOKUP(C141,customers!$A$1:$A$1001,customers!$B$1:$B$1001, ,0)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_xlfn.XLOOKUP(C142,customers!$A$1:$A$1001,customers!$B$1:$B$1001, ,0)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_xlfn.XLOOKUP(C143,customers!$A$1:$A$1001,customers!$B$1:$B$1001, ,0)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_xlfn.XLOOKUP(C144,customers!$A$1:$A$1001,customers!$B$1:$B$1001, ,0)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_xlfn.XLOOKUP(C145,customers!$A$1:$A$1001,customers!$B$1:$B$1001, ,0)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Middle</v>
      </c>
      <c r="P145" t="str">
        <f>_xlfn.XLOOKUP(Table1[[#This Row],[Customer ID]],customers!$A$1:$A$1001,customers!$I$1:$I$1001,,0)</f>
        <v>No</v>
      </c>
    </row>
    <row r="146" spans="1:16" x14ac:dyDescent="0.3">
      <c r="A146" s="2" t="s">
        <v>1299</v>
      </c>
      <c r="B146" s="3">
        <v>44265</v>
      </c>
      <c r="C146" s="2" t="s">
        <v>1300</v>
      </c>
      <c r="D146" t="s">
        <v>6148</v>
      </c>
      <c r="E146" s="2">
        <v>2</v>
      </c>
      <c r="F146" s="2" t="str">
        <f>_xlfn.XLOOKUP(C146,customers!$A$1:$A$1001,customers!$B$1:$B$1001, ,0)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_xlfn.XLOOKUP(C147,customers!$A$1:$A$1001,customers!$B$1:$B$1001, ,0)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Middle</v>
      </c>
      <c r="P147" t="str">
        <f>_xlfn.XLOOKUP(Table1[[#This Row],[Customer ID]],customers!$A$1:$A$1001,customers!$I$1:$I$1001,,0)</f>
        <v>No</v>
      </c>
    </row>
    <row r="148" spans="1:16" x14ac:dyDescent="0.3">
      <c r="A148" s="2" t="s">
        <v>1311</v>
      </c>
      <c r="B148" s="3">
        <v>44024</v>
      </c>
      <c r="C148" s="2" t="s">
        <v>1312</v>
      </c>
      <c r="D148" t="s">
        <v>6162</v>
      </c>
      <c r="E148" s="2">
        <v>3</v>
      </c>
      <c r="F148" s="2" t="str">
        <f>_xlfn.XLOOKUP(C148,customers!$A$1:$A$1001,customers!$B$1:$B$1001, ,0)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Middle</v>
      </c>
      <c r="P148" t="str">
        <f>_xlfn.XLOOKUP(Table1[[#This Row],[Customer ID]],customers!$A$1:$A$1001,customers!$I$1:$I$1001,,0)</f>
        <v>No</v>
      </c>
    </row>
    <row r="149" spans="1:16" x14ac:dyDescent="0.3">
      <c r="A149" s="2" t="s">
        <v>1311</v>
      </c>
      <c r="B149" s="3">
        <v>44024</v>
      </c>
      <c r="C149" s="2" t="s">
        <v>1312</v>
      </c>
      <c r="D149" t="s">
        <v>6141</v>
      </c>
      <c r="E149" s="2">
        <v>2</v>
      </c>
      <c r="F149" s="2" t="str">
        <f>_xlfn.XLOOKUP(C149,customers!$A$1:$A$1001,customers!$B$1:$B$1001, ,0)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Middle</v>
      </c>
      <c r="P149" t="str">
        <f>_xlfn.XLOOKUP(Table1[[#This Row],[Customer ID]],customers!$A$1:$A$1001,customers!$I$1:$I$1001,,0)</f>
        <v>No</v>
      </c>
    </row>
    <row r="150" spans="1:16" x14ac:dyDescent="0.3">
      <c r="A150" s="2" t="s">
        <v>1322</v>
      </c>
      <c r="B150" s="3">
        <v>44551</v>
      </c>
      <c r="C150" s="2" t="s">
        <v>1323</v>
      </c>
      <c r="D150" t="s">
        <v>6153</v>
      </c>
      <c r="E150" s="2">
        <v>5</v>
      </c>
      <c r="F150" s="2" t="str">
        <f>_xlfn.XLOOKUP(C150,customers!$A$1:$A$1001,customers!$B$1:$B$1001, ,0)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_xlfn.XLOOKUP(C151,customers!$A$1:$A$1001,customers!$B$1:$B$1001, ,0)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Middle</v>
      </c>
      <c r="P151" t="str">
        <f>_xlfn.XLOOKUP(Table1[[#This Row],[Customer ID]],customers!$A$1:$A$1001,customers!$I$1:$I$1001,,0)</f>
        <v>Yes</v>
      </c>
    </row>
    <row r="152" spans="1:16" x14ac:dyDescent="0.3">
      <c r="A152" s="2" t="s">
        <v>1333</v>
      </c>
      <c r="B152" s="3">
        <v>44051</v>
      </c>
      <c r="C152" s="2" t="s">
        <v>1334</v>
      </c>
      <c r="D152" t="s">
        <v>6143</v>
      </c>
      <c r="E152" s="2">
        <v>1</v>
      </c>
      <c r="F152" s="2" t="str">
        <f>_xlfn.XLOOKUP(C152,customers!$A$1:$A$1001,customers!$B$1:$B$1001, ,0)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_xlfn.XLOOKUP(C153,customers!$A$1:$A$1001,customers!$B$1:$B$1001, ,0)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Middle</v>
      </c>
      <c r="P153" t="str">
        <f>_xlfn.XLOOKUP(Table1[[#This Row],[Customer ID]],customers!$A$1:$A$1001,customers!$I$1:$I$1001,,0)</f>
        <v>Yes</v>
      </c>
    </row>
    <row r="154" spans="1:16" x14ac:dyDescent="0.3">
      <c r="A154" s="2" t="s">
        <v>1344</v>
      </c>
      <c r="B154" s="3">
        <v>44510</v>
      </c>
      <c r="C154" s="2" t="s">
        <v>1345</v>
      </c>
      <c r="D154" t="s">
        <v>6151</v>
      </c>
      <c r="E154" s="2">
        <v>3</v>
      </c>
      <c r="F154" s="2" t="str">
        <f>_xlfn.XLOOKUP(C154,customers!$A$1:$A$1001,customers!$B$1:$B$1001, ,0)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Middle</v>
      </c>
      <c r="P154" t="str">
        <f>_xlfn.XLOOKUP(Table1[[#This Row],[Customer ID]],customers!$A$1:$A$1001,customers!$I$1:$I$1001,,0)</f>
        <v>Yes</v>
      </c>
    </row>
    <row r="155" spans="1:16" x14ac:dyDescent="0.3">
      <c r="A155" s="2" t="s">
        <v>1350</v>
      </c>
      <c r="B155" s="3">
        <v>44367</v>
      </c>
      <c r="C155" s="2" t="s">
        <v>1351</v>
      </c>
      <c r="D155" t="s">
        <v>6163</v>
      </c>
      <c r="E155" s="2">
        <v>1</v>
      </c>
      <c r="F155" s="2" t="str">
        <f>_xlfn.XLOOKUP(C155,customers!$A$1:$A$1001,customers!$B$1:$B$1001, ,0)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3">
      <c r="A156" s="2" t="s">
        <v>1355</v>
      </c>
      <c r="B156" s="3">
        <v>44473</v>
      </c>
      <c r="C156" s="2" t="s">
        <v>1356</v>
      </c>
      <c r="D156" t="s">
        <v>6168</v>
      </c>
      <c r="E156" s="2">
        <v>5</v>
      </c>
      <c r="F156" s="2" t="str">
        <f>_xlfn.XLOOKUP(C156,customers!$A$1:$A$1001,customers!$B$1:$B$1001, ,0)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3">
      <c r="A157" s="2" t="s">
        <v>1361</v>
      </c>
      <c r="B157" s="3">
        <v>43640</v>
      </c>
      <c r="C157" s="2" t="s">
        <v>1362</v>
      </c>
      <c r="D157" t="s">
        <v>6175</v>
      </c>
      <c r="E157" s="2">
        <v>6</v>
      </c>
      <c r="F157" s="2" t="str">
        <f>_xlfn.XLOOKUP(C157,customers!$A$1:$A$1001,customers!$B$1:$B$1001, ,0)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Middle</v>
      </c>
      <c r="P157" t="str">
        <f>_xlfn.XLOOKUP(Table1[[#This Row],[Customer ID]],customers!$A$1:$A$1001,customers!$I$1:$I$1001,,0)</f>
        <v>Yes</v>
      </c>
    </row>
    <row r="158" spans="1:16" x14ac:dyDescent="0.3">
      <c r="A158" s="2" t="s">
        <v>1367</v>
      </c>
      <c r="B158" s="3">
        <v>43764</v>
      </c>
      <c r="C158" s="2" t="s">
        <v>1368</v>
      </c>
      <c r="D158" t="s">
        <v>6175</v>
      </c>
      <c r="E158" s="2">
        <v>3</v>
      </c>
      <c r="F158" s="2" t="str">
        <f>_xlfn.XLOOKUP(C158,customers!$A$1:$A$1001,customers!$B$1:$B$1001, ,0)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Middle</v>
      </c>
      <c r="P158" t="str">
        <f>_xlfn.XLOOKUP(Table1[[#This Row],[Customer ID]],customers!$A$1:$A$1001,customers!$I$1:$I$1001,,0)</f>
        <v>Yes</v>
      </c>
    </row>
    <row r="159" spans="1:16" x14ac:dyDescent="0.3">
      <c r="A159" s="2" t="s">
        <v>1373</v>
      </c>
      <c r="B159" s="3">
        <v>44374</v>
      </c>
      <c r="C159" s="2" t="s">
        <v>1374</v>
      </c>
      <c r="D159" t="s">
        <v>6149</v>
      </c>
      <c r="E159" s="2">
        <v>3</v>
      </c>
      <c r="F159" s="2" t="str">
        <f>_xlfn.XLOOKUP(C159,customers!$A$1:$A$1001,customers!$B$1:$B$1001, ,0)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3">
      <c r="A160" s="2" t="s">
        <v>1379</v>
      </c>
      <c r="B160" s="3">
        <v>43714</v>
      </c>
      <c r="C160" s="2" t="s">
        <v>1380</v>
      </c>
      <c r="D160" t="s">
        <v>6149</v>
      </c>
      <c r="E160" s="2">
        <v>6</v>
      </c>
      <c r="F160" s="2" t="str">
        <f>_xlfn.XLOOKUP(C160,customers!$A$1:$A$1001,customers!$B$1:$B$1001, ,0)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_xlfn.XLOOKUP(C161,customers!$A$1:$A$1001,customers!$B$1:$B$1001, ,0)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_xlfn.XLOOKUP(C162,customers!$A$1:$A$1001,customers!$B$1:$B$1001, ,0)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Middle</v>
      </c>
      <c r="P162" t="str">
        <f>_xlfn.XLOOKUP(Table1[[#This Row],[Customer ID]],customers!$A$1:$A$1001,customers!$I$1:$I$1001,,0)</f>
        <v>No</v>
      </c>
    </row>
    <row r="163" spans="1:16" x14ac:dyDescent="0.3">
      <c r="A163" s="2" t="s">
        <v>1395</v>
      </c>
      <c r="B163" s="3">
        <v>44207</v>
      </c>
      <c r="C163" s="2" t="s">
        <v>1396</v>
      </c>
      <c r="D163" t="s">
        <v>6180</v>
      </c>
      <c r="E163" s="2">
        <v>3</v>
      </c>
      <c r="F163" s="2" t="str">
        <f>_xlfn.XLOOKUP(C163,customers!$A$1:$A$1001,customers!$B$1:$B$1001, ,0)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_xlfn.XLOOKUP(C164,customers!$A$1:$A$1001,customers!$B$1:$B$1001, ,0)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_xlfn.XLOOKUP(C165,customers!$A$1:$A$1001,customers!$B$1:$B$1001, ,0)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ID]],customers!$A$1:$A$1001,customers!$I$1:$I$1001,,0)</f>
        <v>No</v>
      </c>
    </row>
    <row r="166" spans="1:16" x14ac:dyDescent="0.3">
      <c r="A166" s="2" t="s">
        <v>1413</v>
      </c>
      <c r="B166" s="3">
        <v>44182</v>
      </c>
      <c r="C166" s="2" t="s">
        <v>1414</v>
      </c>
      <c r="D166" t="s">
        <v>6144</v>
      </c>
      <c r="E166" s="2">
        <v>4</v>
      </c>
      <c r="F166" s="2" t="str">
        <f>_xlfn.XLOOKUP(C166,customers!$A$1:$A$1001,customers!$B$1:$B$1001, ,0)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ID]],customers!$A$1:$A$1001,customers!$I$1:$I$1001,,0)</f>
        <v>No</v>
      </c>
    </row>
    <row r="167" spans="1:16" x14ac:dyDescent="0.3">
      <c r="A167" s="2" t="s">
        <v>1420</v>
      </c>
      <c r="B167" s="3">
        <v>44234</v>
      </c>
      <c r="C167" s="2" t="s">
        <v>1421</v>
      </c>
      <c r="D167" t="s">
        <v>6177</v>
      </c>
      <c r="E167" s="2">
        <v>6</v>
      </c>
      <c r="F167" s="2" t="str">
        <f>_xlfn.XLOOKUP(C167,customers!$A$1:$A$1001,customers!$B$1:$B$1001, ,0)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_xlfn.XLOOKUP(C168,customers!$A$1:$A$1001,customers!$B$1:$B$1001, ,0)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_xlfn.XLOOKUP(C169,customers!$A$1:$A$1001,customers!$B$1:$B$1001, ,0)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Middle</v>
      </c>
      <c r="P169" t="str">
        <f>_xlfn.XLOOKUP(Table1[[#This Row],[Customer ID]],customers!$A$1:$A$1001,customers!$I$1:$I$1001,,0)</f>
        <v>Yes</v>
      </c>
    </row>
    <row r="170" spans="1:16" x14ac:dyDescent="0.3">
      <c r="A170" s="2" t="s">
        <v>1436</v>
      </c>
      <c r="B170" s="3">
        <v>43484</v>
      </c>
      <c r="C170" s="2" t="s">
        <v>1437</v>
      </c>
      <c r="D170" t="s">
        <v>6157</v>
      </c>
      <c r="E170" s="2">
        <v>6</v>
      </c>
      <c r="F170" s="2" t="str">
        <f>_xlfn.XLOOKUP(C170,customers!$A$1:$A$1001,customers!$B$1:$B$1001, ,0)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Middle</v>
      </c>
      <c r="P170" t="str">
        <f>_xlfn.XLOOKUP(Table1[[#This Row],[Customer ID]],customers!$A$1:$A$1001,customers!$I$1:$I$1001,,0)</f>
        <v>No</v>
      </c>
    </row>
    <row r="171" spans="1:16" x14ac:dyDescent="0.3">
      <c r="A171" s="2" t="s">
        <v>1441</v>
      </c>
      <c r="B171" s="3">
        <v>44643</v>
      </c>
      <c r="C171" s="2" t="s">
        <v>1442</v>
      </c>
      <c r="D171" t="s">
        <v>6177</v>
      </c>
      <c r="E171" s="2">
        <v>2</v>
      </c>
      <c r="F171" s="2" t="str">
        <f>_xlfn.XLOOKUP(C171,customers!$A$1:$A$1001,customers!$B$1:$B$1001, ,0)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3">
      <c r="A172" s="2" t="s">
        <v>1448</v>
      </c>
      <c r="B172" s="3">
        <v>44476</v>
      </c>
      <c r="C172" s="2" t="s">
        <v>1449</v>
      </c>
      <c r="D172" t="s">
        <v>6148</v>
      </c>
      <c r="E172" s="2">
        <v>2</v>
      </c>
      <c r="F172" s="2" t="str">
        <f>_xlfn.XLOOKUP(C172,customers!$A$1:$A$1001,customers!$B$1:$B$1001, ,0)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_xlfn.XLOOKUP(C173,customers!$A$1:$A$1001,customers!$B$1:$B$1001, ,0)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Middle</v>
      </c>
      <c r="P173" t="str">
        <f>_xlfn.XLOOKUP(Table1[[#This Row],[Customer ID]],customers!$A$1:$A$1001,customers!$I$1:$I$1001,,0)</f>
        <v>Yes</v>
      </c>
    </row>
    <row r="174" spans="1:16" x14ac:dyDescent="0.3">
      <c r="A174" s="2" t="s">
        <v>1459</v>
      </c>
      <c r="B174" s="3">
        <v>44545</v>
      </c>
      <c r="C174" s="2" t="s">
        <v>1460</v>
      </c>
      <c r="D174" t="s">
        <v>6144</v>
      </c>
      <c r="E174" s="2">
        <v>3</v>
      </c>
      <c r="F174" s="2" t="str">
        <f>_xlfn.XLOOKUP(C174,customers!$A$1:$A$1001,customers!$B$1:$B$1001, ,0)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ID]],customers!$A$1:$A$1001,customers!$I$1:$I$1001,,0)</f>
        <v>No</v>
      </c>
    </row>
    <row r="175" spans="1:16" x14ac:dyDescent="0.3">
      <c r="A175" s="2" t="s">
        <v>1464</v>
      </c>
      <c r="B175" s="3">
        <v>44720</v>
      </c>
      <c r="C175" s="2" t="s">
        <v>1465</v>
      </c>
      <c r="D175" t="s">
        <v>6151</v>
      </c>
      <c r="E175" s="2">
        <v>4</v>
      </c>
      <c r="F175" s="2" t="str">
        <f>_xlfn.XLOOKUP(C175,customers!$A$1:$A$1001,customers!$B$1:$B$1001, ,0)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Middle</v>
      </c>
      <c r="P175" t="str">
        <f>_xlfn.XLOOKUP(Table1[[#This Row],[Customer ID]],customers!$A$1:$A$1001,customers!$I$1:$I$1001,,0)</f>
        <v>No</v>
      </c>
    </row>
    <row r="176" spans="1:16" x14ac:dyDescent="0.3">
      <c r="A176" s="2" t="s">
        <v>1470</v>
      </c>
      <c r="B176" s="3">
        <v>43813</v>
      </c>
      <c r="C176" s="2" t="s">
        <v>1471</v>
      </c>
      <c r="D176" t="s">
        <v>6148</v>
      </c>
      <c r="E176" s="2">
        <v>6</v>
      </c>
      <c r="F176" s="2" t="str">
        <f>_xlfn.XLOOKUP(C176,customers!$A$1:$A$1001,customers!$B$1:$B$1001, ,0)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_xlfn.XLOOKUP(C177,customers!$A$1:$A$1001,customers!$B$1:$B$1001, ,0)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Middle</v>
      </c>
      <c r="P177" t="str">
        <f>_xlfn.XLOOKUP(Table1[[#This Row],[Customer ID]],customers!$A$1:$A$1001,customers!$I$1:$I$1001,,0)</f>
        <v>Yes</v>
      </c>
    </row>
    <row r="178" spans="1:16" x14ac:dyDescent="0.3">
      <c r="A178" s="2" t="s">
        <v>1481</v>
      </c>
      <c r="B178" s="3">
        <v>43900</v>
      </c>
      <c r="C178" s="2" t="s">
        <v>1482</v>
      </c>
      <c r="D178" t="s">
        <v>6148</v>
      </c>
      <c r="E178" s="2">
        <v>1</v>
      </c>
      <c r="F178" s="2" t="str">
        <f>_xlfn.XLOOKUP(C178,customers!$A$1:$A$1001,customers!$B$1:$B$1001, ,0)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_xlfn.XLOOKUP(C179,customers!$A$1:$A$1001,customers!$B$1:$B$1001, ,0)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_xlfn.XLOOKUP(C180,customers!$A$1:$A$1001,customers!$B$1:$B$1001, ,0)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_xlfn.XLOOKUP(C181,customers!$A$1:$A$1001,customers!$B$1:$B$1001, ,0)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3">
      <c r="A182" s="2" t="s">
        <v>1503</v>
      </c>
      <c r="B182" s="3">
        <v>43910</v>
      </c>
      <c r="C182" s="2" t="s">
        <v>1504</v>
      </c>
      <c r="D182" t="s">
        <v>6184</v>
      </c>
      <c r="E182" s="2">
        <v>5</v>
      </c>
      <c r="F182" s="2" t="str">
        <f>_xlfn.XLOOKUP(C182,customers!$A$1:$A$1001,customers!$B$1:$B$1001, ,0)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_xlfn.XLOOKUP(C183,customers!$A$1:$A$1001,customers!$B$1:$B$1001, ,0)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ID]],customers!$A$1:$A$1001,customers!$I$1:$I$1001,,0)</f>
        <v>No</v>
      </c>
    </row>
    <row r="184" spans="1:16" x14ac:dyDescent="0.3">
      <c r="A184" s="2" t="s">
        <v>1514</v>
      </c>
      <c r="B184" s="3">
        <v>44284</v>
      </c>
      <c r="C184" s="2" t="s">
        <v>1515</v>
      </c>
      <c r="D184" t="s">
        <v>6172</v>
      </c>
      <c r="E184" s="2">
        <v>6</v>
      </c>
      <c r="F184" s="2" t="str">
        <f>_xlfn.XLOOKUP(C184,customers!$A$1:$A$1001,customers!$B$1:$B$1001, ,0)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ID]],customers!$A$1:$A$1001,customers!$I$1:$I$1001,,0)</f>
        <v>No</v>
      </c>
    </row>
    <row r="185" spans="1:16" x14ac:dyDescent="0.3">
      <c r="A185" s="2" t="s">
        <v>1520</v>
      </c>
      <c r="B185" s="3">
        <v>44512</v>
      </c>
      <c r="C185" s="2" t="s">
        <v>1521</v>
      </c>
      <c r="D185" t="s">
        <v>6156</v>
      </c>
      <c r="E185" s="2">
        <v>2</v>
      </c>
      <c r="F185" s="2" t="str">
        <f>_xlfn.XLOOKUP(C185,customers!$A$1:$A$1001,customers!$B$1:$B$1001, ,0)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Middle</v>
      </c>
      <c r="P185" t="str">
        <f>_xlfn.XLOOKUP(Table1[[#This Row],[Customer ID]],customers!$A$1:$A$1001,customers!$I$1:$I$1001,,0)</f>
        <v>No</v>
      </c>
    </row>
    <row r="186" spans="1:16" x14ac:dyDescent="0.3">
      <c r="A186" s="2" t="s">
        <v>1526</v>
      </c>
      <c r="B186" s="3">
        <v>44397</v>
      </c>
      <c r="C186" s="2" t="s">
        <v>1527</v>
      </c>
      <c r="D186" t="s">
        <v>6180</v>
      </c>
      <c r="E186" s="2">
        <v>4</v>
      </c>
      <c r="F186" s="2" t="str">
        <f>_xlfn.XLOOKUP(C186,customers!$A$1:$A$1001,customers!$B$1:$B$1001, ,0)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_xlfn.XLOOKUP(C187,customers!$A$1:$A$1001,customers!$B$1:$B$1001, ,0)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_xlfn.XLOOKUP(C188,customers!$A$1:$A$1001,customers!$B$1:$B$1001, ,0)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Middle</v>
      </c>
      <c r="P188" t="str">
        <f>_xlfn.XLOOKUP(Table1[[#This Row],[Customer ID]],customers!$A$1:$A$1001,customers!$I$1:$I$1001,,0)</f>
        <v>No</v>
      </c>
    </row>
    <row r="189" spans="1:16" x14ac:dyDescent="0.3">
      <c r="A189" s="2" t="s">
        <v>1544</v>
      </c>
      <c r="B189" s="3">
        <v>44633</v>
      </c>
      <c r="C189" s="2" t="s">
        <v>1545</v>
      </c>
      <c r="D189" t="s">
        <v>6160</v>
      </c>
      <c r="E189" s="2">
        <v>5</v>
      </c>
      <c r="F189" s="2" t="str">
        <f>_xlfn.XLOOKUP(C189,customers!$A$1:$A$1001,customers!$B$1:$B$1001, ,0)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Middle</v>
      </c>
      <c r="P189" t="str">
        <f>_xlfn.XLOOKUP(Table1[[#This Row],[Customer ID]],customers!$A$1:$A$1001,customers!$I$1:$I$1001,,0)</f>
        <v>Yes</v>
      </c>
    </row>
    <row r="190" spans="1:16" x14ac:dyDescent="0.3">
      <c r="A190" s="2" t="s">
        <v>1549</v>
      </c>
      <c r="B190" s="3">
        <v>44698</v>
      </c>
      <c r="C190" s="2" t="s">
        <v>1550</v>
      </c>
      <c r="D190" t="s">
        <v>6184</v>
      </c>
      <c r="E190" s="2">
        <v>1</v>
      </c>
      <c r="F190" s="2" t="str">
        <f>_xlfn.XLOOKUP(C190,customers!$A$1:$A$1001,customers!$B$1:$B$1001, ,0)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_xlfn.XLOOKUP(C191,customers!$A$1:$A$1001,customers!$B$1:$B$1001, ,0)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Middle</v>
      </c>
      <c r="P191" t="str">
        <f>_xlfn.XLOOKUP(Table1[[#This Row],[Customer ID]],customers!$A$1:$A$1001,customers!$I$1:$I$1001,,0)</f>
        <v>Yes</v>
      </c>
    </row>
    <row r="192" spans="1:16" x14ac:dyDescent="0.3">
      <c r="A192" s="2" t="s">
        <v>1561</v>
      </c>
      <c r="B192" s="3">
        <v>43845</v>
      </c>
      <c r="C192" s="2" t="s">
        <v>1562</v>
      </c>
      <c r="D192" t="s">
        <v>6181</v>
      </c>
      <c r="E192" s="2">
        <v>1</v>
      </c>
      <c r="F192" s="2" t="str">
        <f>_xlfn.XLOOKUP(C192,customers!$A$1:$A$1001,customers!$B$1:$B$1001, ,0)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Middle</v>
      </c>
      <c r="P192" t="str">
        <f>_xlfn.XLOOKUP(Table1[[#This Row],[Customer ID]],customers!$A$1:$A$1001,customers!$I$1:$I$1001,,0)</f>
        <v>Yes</v>
      </c>
    </row>
    <row r="193" spans="1:16" x14ac:dyDescent="0.3">
      <c r="A193" s="2" t="s">
        <v>1567</v>
      </c>
      <c r="B193" s="3">
        <v>43567</v>
      </c>
      <c r="C193" s="2" t="s">
        <v>1568</v>
      </c>
      <c r="D193" t="s">
        <v>6150</v>
      </c>
      <c r="E193" s="2">
        <v>5</v>
      </c>
      <c r="F193" s="2" t="str">
        <f>_xlfn.XLOOKUP(C193,customers!$A$1:$A$1001,customers!$B$1:$B$1001, ,0)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_xlfn.XLOOKUP(C194,customers!$A$1:$A$1001,customers!$B$1:$B$1001, ,0)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_xlfn.XLOOKUP(C195,customers!$A$1:$A$1001,customers!$B$1:$B$1001, ,0)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IF(I195="Rob","Robusta",IF(I195="Ara","Arabica",IF(I195="Lib","Liberica",IF(I195="Exc","Excelsa",""))))</f>
        <v>Excelsa</v>
      </c>
      <c r="O195" t="str">
        <f t="shared" ref="O195:O258" si="11">IF(J195="M","Middle",IF(J195="L","Light",IF(J195="D","Dark","")))</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_xlfn.XLOOKUP(C196,customers!$A$1:$A$1001,customers!$B$1:$B$1001, ,0)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ID]],customers!$A$1:$A$1001,customers!$I$1:$I$1001,,0)</f>
        <v>No</v>
      </c>
    </row>
    <row r="197" spans="1:16" x14ac:dyDescent="0.3">
      <c r="A197" s="2" t="s">
        <v>1590</v>
      </c>
      <c r="B197" s="3">
        <v>43683</v>
      </c>
      <c r="C197" s="2" t="s">
        <v>1591</v>
      </c>
      <c r="D197" t="s">
        <v>6140</v>
      </c>
      <c r="E197" s="2">
        <v>3</v>
      </c>
      <c r="F197" s="2" t="str">
        <f>_xlfn.XLOOKUP(C197,customers!$A$1:$A$1001,customers!$B$1:$B$1001, ,0)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_xlfn.XLOOKUP(C198,customers!$A$1:$A$1001,customers!$B$1:$B$1001, ,0)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_xlfn.XLOOKUP(C199,customers!$A$1:$A$1001,customers!$B$1:$B$1001, ,0)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3">
      <c r="A200" s="2" t="s">
        <v>1596</v>
      </c>
      <c r="B200" s="3">
        <v>44339</v>
      </c>
      <c r="C200" s="2" t="s">
        <v>1597</v>
      </c>
      <c r="D200" t="s">
        <v>6165</v>
      </c>
      <c r="E200" s="2">
        <v>3</v>
      </c>
      <c r="F200" s="2" t="str">
        <f>_xlfn.XLOOKUP(C200,customers!$A$1:$A$1001,customers!$B$1:$B$1001, ,0)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3">
      <c r="A201" s="2" t="s">
        <v>1596</v>
      </c>
      <c r="B201" s="3">
        <v>44339</v>
      </c>
      <c r="C201" s="2" t="s">
        <v>1597</v>
      </c>
      <c r="D201" t="s">
        <v>6161</v>
      </c>
      <c r="E201" s="2">
        <v>4</v>
      </c>
      <c r="F201" s="2" t="str">
        <f>_xlfn.XLOOKUP(C201,customers!$A$1:$A$1001,customers!$B$1:$B$1001, ,0)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_xlfn.XLOOKUP(C202,customers!$A$1:$A$1001,customers!$B$1:$B$1001, ,0)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Middle</v>
      </c>
      <c r="P202" t="str">
        <f>_xlfn.XLOOKUP(Table1[[#This Row],[Customer ID]],customers!$A$1:$A$1001,customers!$I$1:$I$1001,,0)</f>
        <v>No</v>
      </c>
    </row>
    <row r="203" spans="1:16" x14ac:dyDescent="0.3">
      <c r="A203" s="2" t="s">
        <v>1621</v>
      </c>
      <c r="B203" s="3">
        <v>44294</v>
      </c>
      <c r="C203" s="2" t="s">
        <v>1622</v>
      </c>
      <c r="D203" t="s">
        <v>6161</v>
      </c>
      <c r="E203" s="2">
        <v>6</v>
      </c>
      <c r="F203" s="2" t="str">
        <f>_xlfn.XLOOKUP(C203,customers!$A$1:$A$1001,customers!$B$1:$B$1001, ,0)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_xlfn.XLOOKUP(C204,customers!$A$1:$A$1001,customers!$B$1:$B$1001, ,0)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_xlfn.XLOOKUP(C205,customers!$A$1:$A$1001,customers!$B$1:$B$1001, ,0)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_xlfn.XLOOKUP(C206,customers!$A$1:$A$1001,customers!$B$1:$B$1001, ,0)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Middle</v>
      </c>
      <c r="P206" t="str">
        <f>_xlfn.XLOOKUP(Table1[[#This Row],[Customer ID]],customers!$A$1:$A$1001,customers!$I$1:$I$1001,,0)</f>
        <v>No</v>
      </c>
    </row>
    <row r="207" spans="1:16" x14ac:dyDescent="0.3">
      <c r="A207" s="2" t="s">
        <v>1643</v>
      </c>
      <c r="B207" s="3">
        <v>43883</v>
      </c>
      <c r="C207" s="2" t="s">
        <v>1644</v>
      </c>
      <c r="D207" t="s">
        <v>6163</v>
      </c>
      <c r="E207" s="2">
        <v>3</v>
      </c>
      <c r="F207" s="2" t="str">
        <f>_xlfn.XLOOKUP(C207,customers!$A$1:$A$1001,customers!$B$1:$B$1001, ,0)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_xlfn.XLOOKUP(C208,customers!$A$1:$A$1001,customers!$B$1:$B$1001, ,0)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Middle</v>
      </c>
      <c r="P208" t="str">
        <f>_xlfn.XLOOKUP(Table1[[#This Row],[Customer ID]],customers!$A$1:$A$1001,customers!$I$1:$I$1001,,0)</f>
        <v>No</v>
      </c>
    </row>
    <row r="209" spans="1:16" x14ac:dyDescent="0.3">
      <c r="A209" s="2" t="s">
        <v>1653</v>
      </c>
      <c r="B209" s="3">
        <v>44207</v>
      </c>
      <c r="C209" s="2" t="s">
        <v>1654</v>
      </c>
      <c r="D209" t="s">
        <v>6157</v>
      </c>
      <c r="E209" s="2">
        <v>6</v>
      </c>
      <c r="F209" s="2" t="str">
        <f>_xlfn.XLOOKUP(C209,customers!$A$1:$A$1001,customers!$B$1:$B$1001, ,0)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Middle</v>
      </c>
      <c r="P209" t="str">
        <f>_xlfn.XLOOKUP(Table1[[#This Row],[Customer ID]],customers!$A$1:$A$1001,customers!$I$1:$I$1001,,0)</f>
        <v>Yes</v>
      </c>
    </row>
    <row r="210" spans="1:16" x14ac:dyDescent="0.3">
      <c r="A210" s="2" t="s">
        <v>1659</v>
      </c>
      <c r="B210" s="3">
        <v>44659</v>
      </c>
      <c r="C210" s="2" t="s">
        <v>1660</v>
      </c>
      <c r="D210" t="s">
        <v>6144</v>
      </c>
      <c r="E210" s="2">
        <v>4</v>
      </c>
      <c r="F210" s="2" t="str">
        <f>_xlfn.XLOOKUP(C210,customers!$A$1:$A$1001,customers!$B$1:$B$1001, ,0)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_xlfn.XLOOKUP(C211,customers!$A$1:$A$1001,customers!$B$1:$B$1001, ,0)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Middle</v>
      </c>
      <c r="P211" t="str">
        <f>_xlfn.XLOOKUP(Table1[[#This Row],[Customer ID]],customers!$A$1:$A$1001,customers!$I$1:$I$1001,,0)</f>
        <v>No</v>
      </c>
    </row>
    <row r="212" spans="1:16" x14ac:dyDescent="0.3">
      <c r="A212" s="2" t="s">
        <v>1671</v>
      </c>
      <c r="B212" s="3">
        <v>43766</v>
      </c>
      <c r="C212" s="2" t="s">
        <v>1672</v>
      </c>
      <c r="D212" t="s">
        <v>6143</v>
      </c>
      <c r="E212" s="2">
        <v>4</v>
      </c>
      <c r="F212" s="2" t="str">
        <f>_xlfn.XLOOKUP(C212,customers!$A$1:$A$1001,customers!$B$1:$B$1001, ,0)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_xlfn.XLOOKUP(C213,customers!$A$1:$A$1001,customers!$B$1:$B$1001, ,0)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_xlfn.XLOOKUP(C214,customers!$A$1:$A$1001,customers!$B$1:$B$1001, ,0)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_xlfn.XLOOKUP(C215,customers!$A$1:$A$1001,customers!$B$1:$B$1001, ,0)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3">
      <c r="A216" s="2" t="s">
        <v>1694</v>
      </c>
      <c r="B216" s="3">
        <v>43775</v>
      </c>
      <c r="C216" s="2" t="s">
        <v>1695</v>
      </c>
      <c r="D216" t="s">
        <v>6170</v>
      </c>
      <c r="E216" s="2">
        <v>2</v>
      </c>
      <c r="F216" s="2" t="str">
        <f>_xlfn.XLOOKUP(C216,customers!$A$1:$A$1001,customers!$B$1:$B$1001, ,0)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_xlfn.XLOOKUP(C217,customers!$A$1:$A$1001,customers!$B$1:$B$1001, ,0)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ID]],customers!$A$1:$A$1001,customers!$I$1:$I$1001,,0)</f>
        <v>No</v>
      </c>
    </row>
    <row r="218" spans="1:16" x14ac:dyDescent="0.3">
      <c r="A218" s="2" t="s">
        <v>1707</v>
      </c>
      <c r="B218" s="3">
        <v>44470</v>
      </c>
      <c r="C218" s="2" t="s">
        <v>1708</v>
      </c>
      <c r="D218" t="s">
        <v>6162</v>
      </c>
      <c r="E218" s="2">
        <v>4</v>
      </c>
      <c r="F218" s="2" t="str">
        <f>_xlfn.XLOOKUP(C218,customers!$A$1:$A$1001,customers!$B$1:$B$1001, ,0)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Middle</v>
      </c>
      <c r="P218" t="str">
        <f>_xlfn.XLOOKUP(Table1[[#This Row],[Customer ID]],customers!$A$1:$A$1001,customers!$I$1:$I$1001,,0)</f>
        <v>Yes</v>
      </c>
    </row>
    <row r="219" spans="1:16" x14ac:dyDescent="0.3">
      <c r="A219" s="2" t="s">
        <v>1713</v>
      </c>
      <c r="B219" s="3">
        <v>44174</v>
      </c>
      <c r="C219" s="2" t="s">
        <v>1714</v>
      </c>
      <c r="D219" t="s">
        <v>6176</v>
      </c>
      <c r="E219" s="2">
        <v>4</v>
      </c>
      <c r="F219" s="2" t="str">
        <f>_xlfn.XLOOKUP(C219,customers!$A$1:$A$1001,customers!$B$1:$B$1001, ,0)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_xlfn.XLOOKUP(C220,customers!$A$1:$A$1001,customers!$B$1:$B$1001, ,0)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Middle</v>
      </c>
      <c r="P220" t="str">
        <f>_xlfn.XLOOKUP(Table1[[#This Row],[Customer ID]],customers!$A$1:$A$1001,customers!$I$1:$I$1001,,0)</f>
        <v>Yes</v>
      </c>
    </row>
    <row r="221" spans="1:16" x14ac:dyDescent="0.3">
      <c r="A221" s="2" t="s">
        <v>1725</v>
      </c>
      <c r="B221" s="3">
        <v>44777</v>
      </c>
      <c r="C221" s="2" t="s">
        <v>1726</v>
      </c>
      <c r="D221" t="s">
        <v>6178</v>
      </c>
      <c r="E221" s="2">
        <v>3</v>
      </c>
      <c r="F221" s="2" t="str">
        <f>_xlfn.XLOOKUP(C221,customers!$A$1:$A$1001,customers!$B$1:$B$1001, ,0)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_xlfn.XLOOKUP(C222,customers!$A$1:$A$1001,customers!$B$1:$B$1001, ,0)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Middle</v>
      </c>
      <c r="P222" t="str">
        <f>_xlfn.XLOOKUP(Table1[[#This Row],[Customer ID]],customers!$A$1:$A$1001,customers!$I$1:$I$1001,,0)</f>
        <v>No</v>
      </c>
    </row>
    <row r="223" spans="1:16" x14ac:dyDescent="0.3">
      <c r="A223" s="2" t="s">
        <v>1736</v>
      </c>
      <c r="B223" s="3">
        <v>44513</v>
      </c>
      <c r="C223" s="2" t="s">
        <v>1737</v>
      </c>
      <c r="D223" t="s">
        <v>6140</v>
      </c>
      <c r="E223" s="2">
        <v>6</v>
      </c>
      <c r="F223" s="2" t="str">
        <f>_xlfn.XLOOKUP(C223,customers!$A$1:$A$1001,customers!$B$1:$B$1001, ,0)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_xlfn.XLOOKUP(C224,customers!$A$1:$A$1001,customers!$B$1:$B$1001, ,0)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ID]],customers!$A$1:$A$1001,customers!$I$1:$I$1001,,0)</f>
        <v>No</v>
      </c>
    </row>
    <row r="225" spans="1:16" x14ac:dyDescent="0.3">
      <c r="A225" s="2" t="s">
        <v>1748</v>
      </c>
      <c r="B225" s="3">
        <v>44109</v>
      </c>
      <c r="C225" s="2" t="s">
        <v>1749</v>
      </c>
      <c r="D225" t="s">
        <v>6171</v>
      </c>
      <c r="E225" s="2">
        <v>4</v>
      </c>
      <c r="F225" s="2" t="str">
        <f>_xlfn.XLOOKUP(C225,customers!$A$1:$A$1001,customers!$B$1:$B$1001, ,0)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_xlfn.XLOOKUP(C226,customers!$A$1:$A$1001,customers!$B$1:$B$1001, ,0)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_xlfn.XLOOKUP(C227,customers!$A$1:$A$1001,customers!$B$1:$B$1001, ,0)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_xlfn.XLOOKUP(C228,customers!$A$1:$A$1001,customers!$B$1:$B$1001, ,0)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Middle</v>
      </c>
      <c r="P228" t="str">
        <f>_xlfn.XLOOKUP(Table1[[#This Row],[Customer ID]],customers!$A$1:$A$1001,customers!$I$1:$I$1001,,0)</f>
        <v>No</v>
      </c>
    </row>
    <row r="229" spans="1:16" x14ac:dyDescent="0.3">
      <c r="A229" s="2" t="s">
        <v>1771</v>
      </c>
      <c r="B229" s="3">
        <v>43880</v>
      </c>
      <c r="C229" s="2" t="s">
        <v>1772</v>
      </c>
      <c r="D229" t="s">
        <v>6163</v>
      </c>
      <c r="E229" s="2">
        <v>6</v>
      </c>
      <c r="F229" s="2" t="str">
        <f>_xlfn.XLOOKUP(C229,customers!$A$1:$A$1001,customers!$B$1:$B$1001, ,0)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_xlfn.XLOOKUP(C230,customers!$A$1:$A$1001,customers!$B$1:$B$1001, ,0)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_xlfn.XLOOKUP(C231,customers!$A$1:$A$1001,customers!$B$1:$B$1001, ,0)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Middle</v>
      </c>
      <c r="P231" t="str">
        <f>_xlfn.XLOOKUP(Table1[[#This Row],[Customer ID]],customers!$A$1:$A$1001,customers!$I$1:$I$1001,,0)</f>
        <v>No</v>
      </c>
    </row>
    <row r="232" spans="1:16" x14ac:dyDescent="0.3">
      <c r="A232" s="2" t="s">
        <v>1789</v>
      </c>
      <c r="B232" s="3">
        <v>44496</v>
      </c>
      <c r="C232" s="2" t="s">
        <v>1790</v>
      </c>
      <c r="D232" t="s">
        <v>6175</v>
      </c>
      <c r="E232" s="2">
        <v>2</v>
      </c>
      <c r="F232" s="2" t="str">
        <f>_xlfn.XLOOKUP(C232,customers!$A$1:$A$1001,customers!$B$1:$B$1001, ,0)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Middle</v>
      </c>
      <c r="P232" t="str">
        <f>_xlfn.XLOOKUP(Table1[[#This Row],[Customer ID]],customers!$A$1:$A$1001,customers!$I$1:$I$1001,,0)</f>
        <v>No</v>
      </c>
    </row>
    <row r="233" spans="1:16" x14ac:dyDescent="0.3">
      <c r="A233" s="2" t="s">
        <v>1795</v>
      </c>
      <c r="B233" s="3">
        <v>43628</v>
      </c>
      <c r="C233" s="2" t="s">
        <v>1796</v>
      </c>
      <c r="D233" t="s">
        <v>6159</v>
      </c>
      <c r="E233" s="2">
        <v>2</v>
      </c>
      <c r="F233" s="2" t="str">
        <f>_xlfn.XLOOKUP(C233,customers!$A$1:$A$1001,customers!$B$1:$B$1001, ,0)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Middle</v>
      </c>
      <c r="P233" t="str">
        <f>_xlfn.XLOOKUP(Table1[[#This Row],[Customer ID]],customers!$A$1:$A$1001,customers!$I$1:$I$1001,,0)</f>
        <v>Yes</v>
      </c>
    </row>
    <row r="234" spans="1:16" x14ac:dyDescent="0.3">
      <c r="A234" s="2" t="s">
        <v>1800</v>
      </c>
      <c r="B234" s="3">
        <v>44010</v>
      </c>
      <c r="C234" s="2" t="s">
        <v>1801</v>
      </c>
      <c r="D234" t="s">
        <v>6145</v>
      </c>
      <c r="E234" s="2">
        <v>5</v>
      </c>
      <c r="F234" s="2" t="str">
        <f>_xlfn.XLOOKUP(C234,customers!$A$1:$A$1001,customers!$B$1:$B$1001, ,0)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_xlfn.XLOOKUP(C235,customers!$A$1:$A$1001,customers!$B$1:$B$1001, ,0)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Middle</v>
      </c>
      <c r="P235" t="str">
        <f>_xlfn.XLOOKUP(Table1[[#This Row],[Customer ID]],customers!$A$1:$A$1001,customers!$I$1:$I$1001,,0)</f>
        <v>No</v>
      </c>
    </row>
    <row r="236" spans="1:16" x14ac:dyDescent="0.3">
      <c r="A236" s="2" t="s">
        <v>1812</v>
      </c>
      <c r="B236" s="3">
        <v>44602</v>
      </c>
      <c r="C236" s="2" t="s">
        <v>1813</v>
      </c>
      <c r="D236" t="s">
        <v>6164</v>
      </c>
      <c r="E236" s="2">
        <v>1</v>
      </c>
      <c r="F236" s="2" t="str">
        <f>_xlfn.XLOOKUP(C236,customers!$A$1:$A$1001,customers!$B$1:$B$1001, ,0)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_xlfn.XLOOKUP(C237,customers!$A$1:$A$1001,customers!$B$1:$B$1001, ,0)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_xlfn.XLOOKUP(C238,customers!$A$1:$A$1001,customers!$B$1:$B$1001, ,0)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3">
      <c r="A239" s="2" t="s">
        <v>1828</v>
      </c>
      <c r="B239" s="3">
        <v>44563</v>
      </c>
      <c r="C239" s="2" t="s">
        <v>1829</v>
      </c>
      <c r="D239" t="s">
        <v>6178</v>
      </c>
      <c r="E239" s="2">
        <v>1</v>
      </c>
      <c r="F239" s="2" t="str">
        <f>_xlfn.XLOOKUP(C239,customers!$A$1:$A$1001,customers!$B$1:$B$1001, ,0)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_xlfn.XLOOKUP(C240,customers!$A$1:$A$1001,customers!$B$1:$B$1001, ,0)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Middle</v>
      </c>
      <c r="P240" t="str">
        <f>_xlfn.XLOOKUP(Table1[[#This Row],[Customer ID]],customers!$A$1:$A$1001,customers!$I$1:$I$1001,,0)</f>
        <v>Yes</v>
      </c>
    </row>
    <row r="241" spans="1:16" x14ac:dyDescent="0.3">
      <c r="A241" s="2" t="s">
        <v>1839</v>
      </c>
      <c r="B241" s="3">
        <v>43881</v>
      </c>
      <c r="C241" s="2" t="s">
        <v>1840</v>
      </c>
      <c r="D241" t="s">
        <v>6171</v>
      </c>
      <c r="E241" s="2">
        <v>4</v>
      </c>
      <c r="F241" s="2" t="str">
        <f>_xlfn.XLOOKUP(C241,customers!$A$1:$A$1001,customers!$B$1:$B$1001, ,0)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_xlfn.XLOOKUP(C242,customers!$A$1:$A$1001,customers!$B$1:$B$1001, ,0)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Middle</v>
      </c>
      <c r="P242" t="str">
        <f>_xlfn.XLOOKUP(Table1[[#This Row],[Customer ID]],customers!$A$1:$A$1001,customers!$I$1:$I$1001,,0)</f>
        <v>Yes</v>
      </c>
    </row>
    <row r="243" spans="1:16" x14ac:dyDescent="0.3">
      <c r="A243" s="2" t="s">
        <v>1849</v>
      </c>
      <c r="B243" s="3">
        <v>44082</v>
      </c>
      <c r="C243" s="2" t="s">
        <v>1850</v>
      </c>
      <c r="D243" t="s">
        <v>6151</v>
      </c>
      <c r="E243" s="2">
        <v>2</v>
      </c>
      <c r="F243" s="2" t="str">
        <f>_xlfn.XLOOKUP(C243,customers!$A$1:$A$1001,customers!$B$1:$B$1001, ,0)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Middle</v>
      </c>
      <c r="P243" t="str">
        <f>_xlfn.XLOOKUP(Table1[[#This Row],[Customer ID]],customers!$A$1:$A$1001,customers!$I$1:$I$1001,,0)</f>
        <v>No</v>
      </c>
    </row>
    <row r="244" spans="1:16" x14ac:dyDescent="0.3">
      <c r="A244" s="2" t="s">
        <v>1854</v>
      </c>
      <c r="B244" s="3">
        <v>43918</v>
      </c>
      <c r="C244" s="2" t="s">
        <v>1855</v>
      </c>
      <c r="D244" t="s">
        <v>6183</v>
      </c>
      <c r="E244" s="2">
        <v>3</v>
      </c>
      <c r="F244" s="2" t="str">
        <f>_xlfn.XLOOKUP(C244,customers!$A$1:$A$1001,customers!$B$1:$B$1001, ,0)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_xlfn.XLOOKUP(C245,customers!$A$1:$A$1001,customers!$B$1:$B$1001, ,0)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_xlfn.XLOOKUP(C246,customers!$A$1:$A$1001,customers!$B$1:$B$1001, ,0)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Middle</v>
      </c>
      <c r="P246" t="str">
        <f>_xlfn.XLOOKUP(Table1[[#This Row],[Customer ID]],customers!$A$1:$A$1001,customers!$I$1:$I$1001,,0)</f>
        <v>No</v>
      </c>
    </row>
    <row r="247" spans="1:16" x14ac:dyDescent="0.3">
      <c r="A247" s="2" t="s">
        <v>1872</v>
      </c>
      <c r="B247" s="3">
        <v>43951</v>
      </c>
      <c r="C247" s="2" t="s">
        <v>1873</v>
      </c>
      <c r="D247" t="s">
        <v>6145</v>
      </c>
      <c r="E247" s="2">
        <v>5</v>
      </c>
      <c r="F247" s="2" t="str">
        <f>_xlfn.XLOOKUP(C247,customers!$A$1:$A$1001,customers!$B$1:$B$1001, ,0)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_xlfn.XLOOKUP(C248,customers!$A$1:$A$1001,customers!$B$1:$B$1001, ,0)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ID]],customers!$A$1:$A$1001,customers!$I$1:$I$1001,,0)</f>
        <v>No</v>
      </c>
    </row>
    <row r="249" spans="1:16" x14ac:dyDescent="0.3">
      <c r="A249" s="2" t="s">
        <v>1884</v>
      </c>
      <c r="B249" s="3">
        <v>44131</v>
      </c>
      <c r="C249" s="2" t="s">
        <v>1885</v>
      </c>
      <c r="D249" t="s">
        <v>6178</v>
      </c>
      <c r="E249" s="2">
        <v>6</v>
      </c>
      <c r="F249" s="2" t="str">
        <f>_xlfn.XLOOKUP(C249,customers!$A$1:$A$1001,customers!$B$1:$B$1001, ,0)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_xlfn.XLOOKUP(C250,customers!$A$1:$A$1001,customers!$B$1:$B$1001, ,0)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_xlfn.XLOOKUP(C251,customers!$A$1:$A$1001,customers!$B$1:$B$1001, ,0)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_xlfn.XLOOKUP(C252,customers!$A$1:$A$1001,customers!$B$1:$B$1001, ,0)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Middle</v>
      </c>
      <c r="P252" t="str">
        <f>_xlfn.XLOOKUP(Table1[[#This Row],[Customer ID]],customers!$A$1:$A$1001,customers!$I$1:$I$1001,,0)</f>
        <v>Yes</v>
      </c>
    </row>
    <row r="253" spans="1:16" x14ac:dyDescent="0.3">
      <c r="A253" s="2" t="s">
        <v>1906</v>
      </c>
      <c r="B253" s="3">
        <v>44360</v>
      </c>
      <c r="C253" s="2" t="s">
        <v>1907</v>
      </c>
      <c r="D253" t="s">
        <v>6141</v>
      </c>
      <c r="E253" s="2">
        <v>5</v>
      </c>
      <c r="F253" s="2" t="str">
        <f>_xlfn.XLOOKUP(C253,customers!$A$1:$A$1001,customers!$B$1:$B$1001, ,0)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Middle</v>
      </c>
      <c r="P253" t="str">
        <f>_xlfn.XLOOKUP(Table1[[#This Row],[Customer ID]],customers!$A$1:$A$1001,customers!$I$1:$I$1001,,0)</f>
        <v>Yes</v>
      </c>
    </row>
    <row r="254" spans="1:16" x14ac:dyDescent="0.3">
      <c r="A254" s="2" t="s">
        <v>1912</v>
      </c>
      <c r="B254" s="3">
        <v>44779</v>
      </c>
      <c r="C254" s="2" t="s">
        <v>1913</v>
      </c>
      <c r="D254" t="s">
        <v>6147</v>
      </c>
      <c r="E254" s="2">
        <v>3</v>
      </c>
      <c r="F254" s="2" t="str">
        <f>_xlfn.XLOOKUP(C254,customers!$A$1:$A$1001,customers!$B$1:$B$1001, ,0)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3">
      <c r="A255" s="2" t="s">
        <v>1917</v>
      </c>
      <c r="B255" s="3">
        <v>44523</v>
      </c>
      <c r="C255" s="2" t="s">
        <v>1918</v>
      </c>
      <c r="D255" t="s">
        <v>6162</v>
      </c>
      <c r="E255" s="2">
        <v>4</v>
      </c>
      <c r="F255" s="2" t="str">
        <f>_xlfn.XLOOKUP(C255,customers!$A$1:$A$1001,customers!$B$1:$B$1001, ,0)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Middle</v>
      </c>
      <c r="P255" t="str">
        <f>_xlfn.XLOOKUP(Table1[[#This Row],[Customer ID]],customers!$A$1:$A$1001,customers!$I$1:$I$1001,,0)</f>
        <v>No</v>
      </c>
    </row>
    <row r="256" spans="1:16" x14ac:dyDescent="0.3">
      <c r="A256" s="2" t="s">
        <v>1923</v>
      </c>
      <c r="B256" s="3">
        <v>44482</v>
      </c>
      <c r="C256" s="2" t="s">
        <v>1924</v>
      </c>
      <c r="D256" t="s">
        <v>6173</v>
      </c>
      <c r="E256" s="2">
        <v>4</v>
      </c>
      <c r="F256" s="2" t="str">
        <f>_xlfn.XLOOKUP(C256,customers!$A$1:$A$1001,customers!$B$1:$B$1001, ,0)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_xlfn.XLOOKUP(C257,customers!$A$1:$A$1001,customers!$B$1:$B$1001, ,0)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_xlfn.XLOOKUP(C258,customers!$A$1:$A$1001,customers!$B$1:$B$1001, ,0)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Middle</v>
      </c>
      <c r="P258" t="str">
        <f>_xlfn.XLOOKUP(Table1[[#This Row],[Customer ID]],customers!$A$1:$A$1001,customers!$I$1:$I$1001,,0)</f>
        <v>Yes</v>
      </c>
    </row>
    <row r="259" spans="1:16" x14ac:dyDescent="0.3">
      <c r="A259" s="2" t="s">
        <v>1940</v>
      </c>
      <c r="B259" s="3">
        <v>44676</v>
      </c>
      <c r="C259" s="2" t="s">
        <v>1941</v>
      </c>
      <c r="D259" t="s">
        <v>6185</v>
      </c>
      <c r="E259" s="2">
        <v>1</v>
      </c>
      <c r="F259" s="2" t="str">
        <f>_xlfn.XLOOKUP(C259,customers!$A$1:$A$1001,customers!$B$1:$B$1001, ,0)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IF(I259="Rob","Robusta",IF(I259="Ara","Arabica",IF(I259="Lib","Liberica",IF(I259="Exc","Excelsa",""))))</f>
        <v>Excelsa</v>
      </c>
      <c r="O259" t="str">
        <f t="shared" ref="O259:O322" si="14">IF(J259="M","Middle",IF(J259="L","Light",IF(J259="D","Dark","")))</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_xlfn.XLOOKUP(C260,customers!$A$1:$A$1001,customers!$B$1:$B$1001, ,0)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3">
      <c r="A261" s="2" t="s">
        <v>1952</v>
      </c>
      <c r="B261" s="3">
        <v>44355</v>
      </c>
      <c r="C261" s="2" t="s">
        <v>1953</v>
      </c>
      <c r="D261" t="s">
        <v>6174</v>
      </c>
      <c r="E261" s="2">
        <v>2</v>
      </c>
      <c r="F261" s="2" t="str">
        <f>_xlfn.XLOOKUP(C261,customers!$A$1:$A$1001,customers!$B$1:$B$1001, ,0)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Middle</v>
      </c>
      <c r="P261" t="str">
        <f>_xlfn.XLOOKUP(Table1[[#This Row],[Customer ID]],customers!$A$1:$A$1001,customers!$I$1:$I$1001,,0)</f>
        <v>No</v>
      </c>
    </row>
    <row r="262" spans="1:16" x14ac:dyDescent="0.3">
      <c r="A262" s="2" t="s">
        <v>1958</v>
      </c>
      <c r="B262" s="3">
        <v>44156</v>
      </c>
      <c r="C262" s="2" t="s">
        <v>1959</v>
      </c>
      <c r="D262" t="s">
        <v>6142</v>
      </c>
      <c r="E262" s="2">
        <v>1</v>
      </c>
      <c r="F262" s="2" t="str">
        <f>_xlfn.XLOOKUP(C262,customers!$A$1:$A$1001,customers!$B$1:$B$1001, ,0)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_xlfn.XLOOKUP(C263,customers!$A$1:$A$1001,customers!$B$1:$B$1001, ,0)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_xlfn.XLOOKUP(C264,customers!$A$1:$A$1001,customers!$B$1:$B$1001, ,0)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Middle</v>
      </c>
      <c r="P264" t="str">
        <f>_xlfn.XLOOKUP(Table1[[#This Row],[Customer ID]],customers!$A$1:$A$1001,customers!$I$1:$I$1001,,0)</f>
        <v>No</v>
      </c>
    </row>
    <row r="265" spans="1:16" x14ac:dyDescent="0.3">
      <c r="A265" s="2" t="s">
        <v>1975</v>
      </c>
      <c r="B265" s="3">
        <v>43577</v>
      </c>
      <c r="C265" s="2" t="s">
        <v>1976</v>
      </c>
      <c r="D265" t="s">
        <v>6181</v>
      </c>
      <c r="E265" s="2">
        <v>4</v>
      </c>
      <c r="F265" s="2" t="str">
        <f>_xlfn.XLOOKUP(C265,customers!$A$1:$A$1001,customers!$B$1:$B$1001, ,0)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Middle</v>
      </c>
      <c r="P265" t="str">
        <f>_xlfn.XLOOKUP(Table1[[#This Row],[Customer ID]],customers!$A$1:$A$1001,customers!$I$1:$I$1001,,0)</f>
        <v>No</v>
      </c>
    </row>
    <row r="266" spans="1:16" x14ac:dyDescent="0.3">
      <c r="A266" s="2" t="s">
        <v>1980</v>
      </c>
      <c r="B266" s="3">
        <v>44683</v>
      </c>
      <c r="C266" s="2" t="s">
        <v>1981</v>
      </c>
      <c r="D266" t="s">
        <v>6179</v>
      </c>
      <c r="E266" s="2">
        <v>5</v>
      </c>
      <c r="F266" s="2" t="str">
        <f>_xlfn.XLOOKUP(C266,customers!$A$1:$A$1001,customers!$B$1:$B$1001, ,0)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_xlfn.XLOOKUP(C267,customers!$A$1:$A$1001,customers!$B$1:$B$1001, ,0)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_xlfn.XLOOKUP(C268,customers!$A$1:$A$1001,customers!$B$1:$B$1001, ,0)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ID]],customers!$A$1:$A$1001,customers!$I$1:$I$1001,,0)</f>
        <v>No</v>
      </c>
    </row>
    <row r="269" spans="1:16" x14ac:dyDescent="0.3">
      <c r="A269" s="2" t="s">
        <v>1998</v>
      </c>
      <c r="B269" s="3">
        <v>44324</v>
      </c>
      <c r="C269" s="2" t="s">
        <v>1999</v>
      </c>
      <c r="D269" t="s">
        <v>6153</v>
      </c>
      <c r="E269" s="2">
        <v>6</v>
      </c>
      <c r="F269" s="2" t="str">
        <f>_xlfn.XLOOKUP(C269,customers!$A$1:$A$1001,customers!$B$1:$B$1001, ,0)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_xlfn.XLOOKUP(C270,customers!$A$1:$A$1001,customers!$B$1:$B$1001, ,0)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_xlfn.XLOOKUP(C271,customers!$A$1:$A$1001,customers!$B$1:$B$1001, ,0)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ID]],customers!$A$1:$A$1001,customers!$I$1:$I$1001,,0)</f>
        <v>No</v>
      </c>
    </row>
    <row r="272" spans="1:16" x14ac:dyDescent="0.3">
      <c r="A272" s="2" t="s">
        <v>2015</v>
      </c>
      <c r="B272" s="3">
        <v>43655</v>
      </c>
      <c r="C272" s="2" t="s">
        <v>2016</v>
      </c>
      <c r="D272" t="s">
        <v>6144</v>
      </c>
      <c r="E272" s="2">
        <v>1</v>
      </c>
      <c r="F272" s="2" t="str">
        <f>_xlfn.XLOOKUP(C272,customers!$A$1:$A$1001,customers!$B$1:$B$1001, ,0)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_xlfn.XLOOKUP(C273,customers!$A$1:$A$1001,customers!$B$1:$B$1001, ,0)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_xlfn.XLOOKUP(C274,customers!$A$1:$A$1001,customers!$B$1:$B$1001, ,0)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_xlfn.XLOOKUP(C275,customers!$A$1:$A$1001,customers!$B$1:$B$1001, ,0)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_xlfn.XLOOKUP(C276,customers!$A$1:$A$1001,customers!$B$1:$B$1001, ,0)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Middle</v>
      </c>
      <c r="P276" t="str">
        <f>_xlfn.XLOOKUP(Table1[[#This Row],[Customer ID]],customers!$A$1:$A$1001,customers!$I$1:$I$1001,,0)</f>
        <v>No</v>
      </c>
    </row>
    <row r="277" spans="1:16" x14ac:dyDescent="0.3">
      <c r="A277" s="2" t="s">
        <v>2044</v>
      </c>
      <c r="B277" s="3">
        <v>44725</v>
      </c>
      <c r="C277" s="2" t="s">
        <v>2045</v>
      </c>
      <c r="D277" t="s">
        <v>6148</v>
      </c>
      <c r="E277" s="2">
        <v>6</v>
      </c>
      <c r="F277" s="2" t="str">
        <f>_xlfn.XLOOKUP(C277,customers!$A$1:$A$1001,customers!$B$1:$B$1001, ,0)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_xlfn.XLOOKUP(C278,customers!$A$1:$A$1001,customers!$B$1:$B$1001, ,0)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_xlfn.XLOOKUP(C279,customers!$A$1:$A$1001,customers!$B$1:$B$1001, ,0)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_xlfn.XLOOKUP(C280,customers!$A$1:$A$1001,customers!$B$1:$B$1001, ,0)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_xlfn.XLOOKUP(C281,customers!$A$1:$A$1001,customers!$B$1:$B$1001, ,0)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Middle</v>
      </c>
      <c r="P281" t="str">
        <f>_xlfn.XLOOKUP(Table1[[#This Row],[Customer ID]],customers!$A$1:$A$1001,customers!$I$1:$I$1001,,0)</f>
        <v>Yes</v>
      </c>
    </row>
    <row r="282" spans="1:16" x14ac:dyDescent="0.3">
      <c r="A282" s="2" t="s">
        <v>2074</v>
      </c>
      <c r="B282" s="3">
        <v>44234</v>
      </c>
      <c r="C282" s="2" t="s">
        <v>2075</v>
      </c>
      <c r="D282" t="s">
        <v>6139</v>
      </c>
      <c r="E282" s="2">
        <v>5</v>
      </c>
      <c r="F282" s="2" t="str">
        <f>_xlfn.XLOOKUP(C282,customers!$A$1:$A$1001,customers!$B$1:$B$1001, ,0)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Middle</v>
      </c>
      <c r="P282" t="str">
        <f>_xlfn.XLOOKUP(Table1[[#This Row],[Customer ID]],customers!$A$1:$A$1001,customers!$I$1:$I$1001,,0)</f>
        <v>Yes</v>
      </c>
    </row>
    <row r="283" spans="1:16" x14ac:dyDescent="0.3">
      <c r="A283" s="2" t="s">
        <v>2079</v>
      </c>
      <c r="B283" s="3">
        <v>44210</v>
      </c>
      <c r="C283" s="2" t="s">
        <v>2080</v>
      </c>
      <c r="D283" t="s">
        <v>6171</v>
      </c>
      <c r="E283" s="2">
        <v>4</v>
      </c>
      <c r="F283" s="2" t="str">
        <f>_xlfn.XLOOKUP(C283,customers!$A$1:$A$1001,customers!$B$1:$B$1001, ,0)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_xlfn.XLOOKUP(C284,customers!$A$1:$A$1001,customers!$B$1:$B$1001, ,0)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_xlfn.XLOOKUP(C285,customers!$A$1:$A$1001,customers!$B$1:$B$1001, ,0)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_xlfn.XLOOKUP(C286,customers!$A$1:$A$1001,customers!$B$1:$B$1001, ,0)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Middle</v>
      </c>
      <c r="P286" t="str">
        <f>_xlfn.XLOOKUP(Table1[[#This Row],[Customer ID]],customers!$A$1:$A$1001,customers!$I$1:$I$1001,,0)</f>
        <v>No</v>
      </c>
    </row>
    <row r="287" spans="1:16" x14ac:dyDescent="0.3">
      <c r="A287" s="2" t="s">
        <v>2102</v>
      </c>
      <c r="B287" s="3">
        <v>44030</v>
      </c>
      <c r="C287" s="2" t="s">
        <v>2103</v>
      </c>
      <c r="D287" t="s">
        <v>6164</v>
      </c>
      <c r="E287" s="2">
        <v>1</v>
      </c>
      <c r="F287" s="2" t="str">
        <f>_xlfn.XLOOKUP(C287,customers!$A$1:$A$1001,customers!$B$1:$B$1001, ,0)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_xlfn.XLOOKUP(C288,customers!$A$1:$A$1001,customers!$B$1:$B$1001, ,0)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Middle</v>
      </c>
      <c r="P288" t="str">
        <f>_xlfn.XLOOKUP(Table1[[#This Row],[Customer ID]],customers!$A$1:$A$1001,customers!$I$1:$I$1001,,0)</f>
        <v>Yes</v>
      </c>
    </row>
    <row r="289" spans="1:16" x14ac:dyDescent="0.3">
      <c r="A289" s="2" t="s">
        <v>2112</v>
      </c>
      <c r="B289" s="3">
        <v>44697</v>
      </c>
      <c r="C289" s="2" t="s">
        <v>2113</v>
      </c>
      <c r="D289" t="s">
        <v>6178</v>
      </c>
      <c r="E289" s="2">
        <v>4</v>
      </c>
      <c r="F289" s="2" t="str">
        <f>_xlfn.XLOOKUP(C289,customers!$A$1:$A$1001,customers!$B$1:$B$1001, ,0)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_xlfn.XLOOKUP(C290,customers!$A$1:$A$1001,customers!$B$1:$B$1001, ,0)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Middle</v>
      </c>
      <c r="P290" t="str">
        <f>_xlfn.XLOOKUP(Table1[[#This Row],[Customer ID]],customers!$A$1:$A$1001,customers!$I$1:$I$1001,,0)</f>
        <v>Yes</v>
      </c>
    </row>
    <row r="291" spans="1:16" x14ac:dyDescent="0.3">
      <c r="A291" s="2" t="s">
        <v>2123</v>
      </c>
      <c r="B291" s="3">
        <v>43772</v>
      </c>
      <c r="C291" s="2" t="s">
        <v>2124</v>
      </c>
      <c r="D291" t="s">
        <v>6163</v>
      </c>
      <c r="E291" s="2">
        <v>5</v>
      </c>
      <c r="F291" s="2" t="str">
        <f>_xlfn.XLOOKUP(C291,customers!$A$1:$A$1001,customers!$B$1:$B$1001, ,0)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_xlfn.XLOOKUP(C292,customers!$A$1:$A$1001,customers!$B$1:$B$1001, ,0)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ID]],customers!$A$1:$A$1001,customers!$I$1:$I$1001,,0)</f>
        <v>No</v>
      </c>
    </row>
    <row r="293" spans="1:16" x14ac:dyDescent="0.3">
      <c r="A293" s="2" t="s">
        <v>2133</v>
      </c>
      <c r="B293" s="3">
        <v>44181</v>
      </c>
      <c r="C293" s="2" t="s">
        <v>2134</v>
      </c>
      <c r="D293" t="s">
        <v>6139</v>
      </c>
      <c r="E293" s="2">
        <v>2</v>
      </c>
      <c r="F293" s="2" t="str">
        <f>_xlfn.XLOOKUP(C293,customers!$A$1:$A$1001,customers!$B$1:$B$1001, ,0)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Middle</v>
      </c>
      <c r="P293" t="str">
        <f>_xlfn.XLOOKUP(Table1[[#This Row],[Customer ID]],customers!$A$1:$A$1001,customers!$I$1:$I$1001,,0)</f>
        <v>No</v>
      </c>
    </row>
    <row r="294" spans="1:16" x14ac:dyDescent="0.3">
      <c r="A294" s="2" t="s">
        <v>2137</v>
      </c>
      <c r="B294" s="3">
        <v>44529</v>
      </c>
      <c r="C294" s="2" t="s">
        <v>2138</v>
      </c>
      <c r="D294" t="s">
        <v>6158</v>
      </c>
      <c r="E294" s="2">
        <v>3</v>
      </c>
      <c r="F294" s="2" t="str">
        <f>_xlfn.XLOOKUP(C294,customers!$A$1:$A$1001,customers!$B$1:$B$1001, ,0)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ID]],customers!$A$1:$A$1001,customers!$I$1:$I$1001,,0)</f>
        <v>No</v>
      </c>
    </row>
    <row r="295" spans="1:16" x14ac:dyDescent="0.3">
      <c r="A295" s="2" t="s">
        <v>2142</v>
      </c>
      <c r="B295" s="3">
        <v>44275</v>
      </c>
      <c r="C295" s="2" t="s">
        <v>2143</v>
      </c>
      <c r="D295" t="s">
        <v>6158</v>
      </c>
      <c r="E295" s="2">
        <v>5</v>
      </c>
      <c r="F295" s="2" t="str">
        <f>_xlfn.XLOOKUP(C295,customers!$A$1:$A$1001,customers!$B$1:$B$1001, ,0)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ID]],customers!$A$1:$A$1001,customers!$I$1:$I$1001,,0)</f>
        <v>No</v>
      </c>
    </row>
    <row r="296" spans="1:16" x14ac:dyDescent="0.3">
      <c r="A296" s="2" t="s">
        <v>2148</v>
      </c>
      <c r="B296" s="3">
        <v>44659</v>
      </c>
      <c r="C296" s="2" t="s">
        <v>2149</v>
      </c>
      <c r="D296" t="s">
        <v>6171</v>
      </c>
      <c r="E296" s="2">
        <v>3</v>
      </c>
      <c r="F296" s="2" t="str">
        <f>_xlfn.XLOOKUP(C296,customers!$A$1:$A$1001,customers!$B$1:$B$1001, ,0)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_xlfn.XLOOKUP(C297,customers!$A$1:$A$1001,customers!$B$1:$B$1001, ,0)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Middle</v>
      </c>
      <c r="P297" t="str">
        <f>_xlfn.XLOOKUP(Table1[[#This Row],[Customer ID]],customers!$A$1:$A$1001,customers!$I$1:$I$1001,,0)</f>
        <v>No</v>
      </c>
    </row>
    <row r="298" spans="1:16" x14ac:dyDescent="0.3">
      <c r="A298" s="2" t="s">
        <v>2157</v>
      </c>
      <c r="B298" s="3">
        <v>43597</v>
      </c>
      <c r="C298" s="2" t="s">
        <v>2158</v>
      </c>
      <c r="D298" t="s">
        <v>6146</v>
      </c>
      <c r="E298" s="2">
        <v>6</v>
      </c>
      <c r="F298" s="2" t="str">
        <f>_xlfn.XLOOKUP(C298,customers!$A$1:$A$1001,customers!$B$1:$B$1001, ,0)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Middle</v>
      </c>
      <c r="P298" t="str">
        <f>_xlfn.XLOOKUP(Table1[[#This Row],[Customer ID]],customers!$A$1:$A$1001,customers!$I$1:$I$1001,,0)</f>
        <v>Yes</v>
      </c>
    </row>
    <row r="299" spans="1:16" x14ac:dyDescent="0.3">
      <c r="A299" s="2" t="s">
        <v>2163</v>
      </c>
      <c r="B299" s="3">
        <v>44258</v>
      </c>
      <c r="C299" s="2" t="s">
        <v>2164</v>
      </c>
      <c r="D299" t="s">
        <v>6172</v>
      </c>
      <c r="E299" s="2">
        <v>3</v>
      </c>
      <c r="F299" s="2" t="str">
        <f>_xlfn.XLOOKUP(C299,customers!$A$1:$A$1001,customers!$B$1:$B$1001, ,0)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_xlfn.XLOOKUP(C300,customers!$A$1:$A$1001,customers!$B$1:$B$1001, ,0)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_xlfn.XLOOKUP(C301,customers!$A$1:$A$1001,customers!$B$1:$B$1001, ,0)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_xlfn.XLOOKUP(C302,customers!$A$1:$A$1001,customers!$B$1:$B$1001, ,0)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_xlfn.XLOOKUP(C303,customers!$A$1:$A$1001,customers!$B$1:$B$1001, ,0)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_xlfn.XLOOKUP(C304,customers!$A$1:$A$1001,customers!$B$1:$B$1001, ,0)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Middle</v>
      </c>
      <c r="P304" t="str">
        <f>_xlfn.XLOOKUP(Table1[[#This Row],[Customer ID]],customers!$A$1:$A$1001,customers!$I$1:$I$1001,,0)</f>
        <v>No</v>
      </c>
    </row>
    <row r="305" spans="1:16" x14ac:dyDescent="0.3">
      <c r="A305" s="2" t="s">
        <v>2199</v>
      </c>
      <c r="B305" s="3">
        <v>44412</v>
      </c>
      <c r="C305" s="2" t="s">
        <v>2200</v>
      </c>
      <c r="D305" t="s">
        <v>6185</v>
      </c>
      <c r="E305" s="2">
        <v>4</v>
      </c>
      <c r="F305" s="2" t="str">
        <f>_xlfn.XLOOKUP(C305,customers!$A$1:$A$1001,customers!$B$1:$B$1001, ,0)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_xlfn.XLOOKUP(C306,customers!$A$1:$A$1001,customers!$B$1:$B$1001, ,0)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_xlfn.XLOOKUP(C307,customers!$A$1:$A$1001,customers!$B$1:$B$1001, ,0)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Middle</v>
      </c>
      <c r="P307" t="str">
        <f>_xlfn.XLOOKUP(Table1[[#This Row],[Customer ID]],customers!$A$1:$A$1001,customers!$I$1:$I$1001,,0)</f>
        <v>No</v>
      </c>
    </row>
    <row r="308" spans="1:16" x14ac:dyDescent="0.3">
      <c r="A308" s="2" t="s">
        <v>2215</v>
      </c>
      <c r="B308" s="3">
        <v>43890</v>
      </c>
      <c r="C308" s="2" t="s">
        <v>2216</v>
      </c>
      <c r="D308" t="s">
        <v>6174</v>
      </c>
      <c r="E308" s="2">
        <v>5</v>
      </c>
      <c r="F308" s="2" t="str">
        <f>_xlfn.XLOOKUP(C308,customers!$A$1:$A$1001,customers!$B$1:$B$1001, ,0)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Middle</v>
      </c>
      <c r="P308" t="str">
        <f>_xlfn.XLOOKUP(Table1[[#This Row],[Customer ID]],customers!$A$1:$A$1001,customers!$I$1:$I$1001,,0)</f>
        <v>No</v>
      </c>
    </row>
    <row r="309" spans="1:16" x14ac:dyDescent="0.3">
      <c r="A309" s="2" t="s">
        <v>2221</v>
      </c>
      <c r="B309" s="3">
        <v>44227</v>
      </c>
      <c r="C309" s="2" t="s">
        <v>2222</v>
      </c>
      <c r="D309" t="s">
        <v>6155</v>
      </c>
      <c r="E309" s="2">
        <v>3</v>
      </c>
      <c r="F309" s="2" t="str">
        <f>_xlfn.XLOOKUP(C309,customers!$A$1:$A$1001,customers!$B$1:$B$1001, ,0)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Middle</v>
      </c>
      <c r="P309" t="str">
        <f>_xlfn.XLOOKUP(Table1[[#This Row],[Customer ID]],customers!$A$1:$A$1001,customers!$I$1:$I$1001,,0)</f>
        <v>Yes</v>
      </c>
    </row>
    <row r="310" spans="1:16" x14ac:dyDescent="0.3">
      <c r="A310" s="2" t="s">
        <v>2227</v>
      </c>
      <c r="B310" s="3">
        <v>44729</v>
      </c>
      <c r="C310" s="2" t="s">
        <v>2228</v>
      </c>
      <c r="D310" t="s">
        <v>6155</v>
      </c>
      <c r="E310" s="2">
        <v>3</v>
      </c>
      <c r="F310" s="2" t="str">
        <f>_xlfn.XLOOKUP(C310,customers!$A$1:$A$1001,customers!$B$1:$B$1001, ,0)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Middle</v>
      </c>
      <c r="P310" t="str">
        <f>_xlfn.XLOOKUP(Table1[[#This Row],[Customer ID]],customers!$A$1:$A$1001,customers!$I$1:$I$1001,,0)</f>
        <v>No</v>
      </c>
    </row>
    <row r="311" spans="1:16" x14ac:dyDescent="0.3">
      <c r="A311" s="2" t="s">
        <v>2232</v>
      </c>
      <c r="B311" s="3">
        <v>43864</v>
      </c>
      <c r="C311" s="2" t="s">
        <v>2233</v>
      </c>
      <c r="D311" t="s">
        <v>6159</v>
      </c>
      <c r="E311" s="2">
        <v>6</v>
      </c>
      <c r="F311" s="2" t="str">
        <f>_xlfn.XLOOKUP(C311,customers!$A$1:$A$1001,customers!$B$1:$B$1001, ,0)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Middle</v>
      </c>
      <c r="P311" t="str">
        <f>_xlfn.XLOOKUP(Table1[[#This Row],[Customer ID]],customers!$A$1:$A$1001,customers!$I$1:$I$1001,,0)</f>
        <v>Yes</v>
      </c>
    </row>
    <row r="312" spans="1:16" x14ac:dyDescent="0.3">
      <c r="A312" s="2" t="s">
        <v>2238</v>
      </c>
      <c r="B312" s="3">
        <v>44586</v>
      </c>
      <c r="C312" s="2" t="s">
        <v>2239</v>
      </c>
      <c r="D312" t="s">
        <v>6171</v>
      </c>
      <c r="E312" s="2">
        <v>1</v>
      </c>
      <c r="F312" s="2" t="str">
        <f>_xlfn.XLOOKUP(C312,customers!$A$1:$A$1001,customers!$B$1:$B$1001, ,0)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_xlfn.XLOOKUP(C313,customers!$A$1:$A$1001,customers!$B$1:$B$1001, ,0)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Middle</v>
      </c>
      <c r="P313" t="str">
        <f>_xlfn.XLOOKUP(Table1[[#This Row],[Customer ID]],customers!$A$1:$A$1001,customers!$I$1:$I$1001,,0)</f>
        <v>Yes</v>
      </c>
    </row>
    <row r="314" spans="1:16" x14ac:dyDescent="0.3">
      <c r="A314" s="2" t="s">
        <v>2250</v>
      </c>
      <c r="B314" s="3">
        <v>44317</v>
      </c>
      <c r="C314" s="2" t="s">
        <v>2251</v>
      </c>
      <c r="D314" t="s">
        <v>6146</v>
      </c>
      <c r="E314" s="2">
        <v>1</v>
      </c>
      <c r="F314" s="2" t="str">
        <f>_xlfn.XLOOKUP(C314,customers!$A$1:$A$1001,customers!$B$1:$B$1001, ,0)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Middle</v>
      </c>
      <c r="P314" t="str">
        <f>_xlfn.XLOOKUP(Table1[[#This Row],[Customer ID]],customers!$A$1:$A$1001,customers!$I$1:$I$1001,,0)</f>
        <v>Yes</v>
      </c>
    </row>
    <row r="315" spans="1:16" x14ac:dyDescent="0.3">
      <c r="A315" s="2" t="s">
        <v>2256</v>
      </c>
      <c r="B315" s="3">
        <v>44497</v>
      </c>
      <c r="C315" s="2" t="s">
        <v>2257</v>
      </c>
      <c r="D315" t="s">
        <v>6138</v>
      </c>
      <c r="E315" s="2">
        <v>3</v>
      </c>
      <c r="F315" s="2" t="str">
        <f>_xlfn.XLOOKUP(C315,customers!$A$1:$A$1001,customers!$B$1:$B$1001, ,0)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Middle</v>
      </c>
      <c r="P315" t="str">
        <f>_xlfn.XLOOKUP(Table1[[#This Row],[Customer ID]],customers!$A$1:$A$1001,customers!$I$1:$I$1001,,0)</f>
        <v>Yes</v>
      </c>
    </row>
    <row r="316" spans="1:16" x14ac:dyDescent="0.3">
      <c r="A316" s="2" t="s">
        <v>2262</v>
      </c>
      <c r="B316" s="3">
        <v>44437</v>
      </c>
      <c r="C316" s="2" t="s">
        <v>2263</v>
      </c>
      <c r="D316" t="s">
        <v>6177</v>
      </c>
      <c r="E316" s="2">
        <v>5</v>
      </c>
      <c r="F316" s="2" t="str">
        <f>_xlfn.XLOOKUP(C316,customers!$A$1:$A$1001,customers!$B$1:$B$1001, ,0)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ID]],customers!$A$1:$A$1001,customers!$I$1:$I$1001,,0)</f>
        <v>No</v>
      </c>
    </row>
    <row r="317" spans="1:16" x14ac:dyDescent="0.3">
      <c r="A317" s="2" t="s">
        <v>2267</v>
      </c>
      <c r="B317" s="3">
        <v>43826</v>
      </c>
      <c r="C317" s="2" t="s">
        <v>2268</v>
      </c>
      <c r="D317" t="s">
        <v>6148</v>
      </c>
      <c r="E317" s="2">
        <v>1</v>
      </c>
      <c r="F317" s="2" t="str">
        <f>_xlfn.XLOOKUP(C317,customers!$A$1:$A$1001,customers!$B$1:$B$1001, ,0)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_xlfn.XLOOKUP(C318,customers!$A$1:$A$1001,customers!$B$1:$B$1001, ,0)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_xlfn.XLOOKUP(C319,customers!$A$1:$A$1001,customers!$B$1:$B$1001, ,0)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ID]],customers!$A$1:$A$1001,customers!$I$1:$I$1001,,0)</f>
        <v>No</v>
      </c>
    </row>
    <row r="320" spans="1:16" x14ac:dyDescent="0.3">
      <c r="A320" s="2" t="s">
        <v>2285</v>
      </c>
      <c r="B320" s="3">
        <v>44563</v>
      </c>
      <c r="C320" s="2" t="s">
        <v>2286</v>
      </c>
      <c r="D320" t="s">
        <v>6175</v>
      </c>
      <c r="E320" s="2">
        <v>2</v>
      </c>
      <c r="F320" s="2" t="str">
        <f>_xlfn.XLOOKUP(C320,customers!$A$1:$A$1001,customers!$B$1:$B$1001, ,0)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Middle</v>
      </c>
      <c r="P320" t="str">
        <f>_xlfn.XLOOKUP(Table1[[#This Row],[Customer ID]],customers!$A$1:$A$1001,customers!$I$1:$I$1001,,0)</f>
        <v>Yes</v>
      </c>
    </row>
    <row r="321" spans="1:16" x14ac:dyDescent="0.3">
      <c r="A321" s="2" t="s">
        <v>2291</v>
      </c>
      <c r="B321" s="3">
        <v>43676</v>
      </c>
      <c r="C321" s="2" t="s">
        <v>2292</v>
      </c>
      <c r="D321" t="s">
        <v>6156</v>
      </c>
      <c r="E321" s="2">
        <v>2</v>
      </c>
      <c r="F321" s="2" t="str">
        <f>_xlfn.XLOOKUP(C321,customers!$A$1:$A$1001,customers!$B$1:$B$1001, ,0)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Middle</v>
      </c>
      <c r="P321" t="str">
        <f>_xlfn.XLOOKUP(Table1[[#This Row],[Customer ID]],customers!$A$1:$A$1001,customers!$I$1:$I$1001,,0)</f>
        <v>Yes</v>
      </c>
    </row>
    <row r="322" spans="1:16" x14ac:dyDescent="0.3">
      <c r="A322" s="2" t="s">
        <v>2291</v>
      </c>
      <c r="B322" s="3">
        <v>43676</v>
      </c>
      <c r="C322" s="2" t="s">
        <v>2292</v>
      </c>
      <c r="D322" t="s">
        <v>6167</v>
      </c>
      <c r="E322" s="2">
        <v>5</v>
      </c>
      <c r="F322" s="2" t="str">
        <f>_xlfn.XLOOKUP(C322,customers!$A$1:$A$1001,customers!$B$1:$B$1001, ,0)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_xlfn.XLOOKUP(C323,customers!$A$1:$A$1001,customers!$B$1:$B$1001, ,0)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IF(I323="Rob","Robusta",IF(I323="Ara","Arabica",IF(I323="Lib","Liberica",IF(I323="Exc","Excelsa",""))))</f>
        <v>Arabica</v>
      </c>
      <c r="O323" t="str">
        <f t="shared" ref="O323:O386" si="17">IF(J323="M","Middle",IF(J323="L","Light",IF(J323="D","Dark","")))</f>
        <v>Middle</v>
      </c>
      <c r="P323" t="str">
        <f>_xlfn.XLOOKUP(Table1[[#This Row],[Customer ID]],customers!$A$1:$A$1001,customers!$I$1:$I$1001,,0)</f>
        <v>Yes</v>
      </c>
    </row>
    <row r="324" spans="1:16" x14ac:dyDescent="0.3">
      <c r="A324" s="2" t="s">
        <v>2307</v>
      </c>
      <c r="B324" s="3">
        <v>44182</v>
      </c>
      <c r="C324" s="2" t="s">
        <v>2308</v>
      </c>
      <c r="D324" t="s">
        <v>6169</v>
      </c>
      <c r="E324" s="2">
        <v>3</v>
      </c>
      <c r="F324" s="2" t="str">
        <f>_xlfn.XLOOKUP(C324,customers!$A$1:$A$1001,customers!$B$1:$B$1001, ,0)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ID]],customers!$A$1:$A$1001,customers!$I$1:$I$1001,,0)</f>
        <v>No</v>
      </c>
    </row>
    <row r="325" spans="1:16" x14ac:dyDescent="0.3">
      <c r="A325" s="2" t="s">
        <v>2313</v>
      </c>
      <c r="B325" s="3">
        <v>44373</v>
      </c>
      <c r="C325" s="2" t="s">
        <v>2314</v>
      </c>
      <c r="D325" t="s">
        <v>6153</v>
      </c>
      <c r="E325" s="2">
        <v>5</v>
      </c>
      <c r="F325" s="2" t="str">
        <f>_xlfn.XLOOKUP(C325,customers!$A$1:$A$1001,customers!$B$1:$B$1001, ,0)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_xlfn.XLOOKUP(C326,customers!$A$1:$A$1001,customers!$B$1:$B$1001, ,0)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Middle</v>
      </c>
      <c r="P326" t="str">
        <f>_xlfn.XLOOKUP(Table1[[#This Row],[Customer ID]],customers!$A$1:$A$1001,customers!$I$1:$I$1001,,0)</f>
        <v>No</v>
      </c>
    </row>
    <row r="327" spans="1:16" x14ac:dyDescent="0.3">
      <c r="A327" s="2" t="s">
        <v>2324</v>
      </c>
      <c r="B327" s="3">
        <v>44756</v>
      </c>
      <c r="C327" s="2" t="s">
        <v>2325</v>
      </c>
      <c r="D327" t="s">
        <v>6182</v>
      </c>
      <c r="E327" s="2">
        <v>1</v>
      </c>
      <c r="F327" s="2" t="str">
        <f>_xlfn.XLOOKUP(C327,customers!$A$1:$A$1001,customers!$B$1:$B$1001, ,0)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_xlfn.XLOOKUP(C328,customers!$A$1:$A$1001,customers!$B$1:$B$1001, ,0)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ID]],customers!$A$1:$A$1001,customers!$I$1:$I$1001,,0)</f>
        <v>No</v>
      </c>
    </row>
    <row r="329" spans="1:16" x14ac:dyDescent="0.3">
      <c r="A329" s="2" t="s">
        <v>2335</v>
      </c>
      <c r="B329" s="3">
        <v>43579</v>
      </c>
      <c r="C329" s="2" t="s">
        <v>2336</v>
      </c>
      <c r="D329" t="s">
        <v>6177</v>
      </c>
      <c r="E329" s="2">
        <v>5</v>
      </c>
      <c r="F329" s="2" t="str">
        <f>_xlfn.XLOOKUP(C329,customers!$A$1:$A$1001,customers!$B$1:$B$1001, ,0)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_xlfn.XLOOKUP(C330,customers!$A$1:$A$1001,customers!$B$1:$B$1001, ,0)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_xlfn.XLOOKUP(C331,customers!$A$1:$A$1001,customers!$B$1:$B$1001, ,0)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_xlfn.XLOOKUP(C332,customers!$A$1:$A$1001,customers!$B$1:$B$1001, ,0)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ID]],customers!$A$1:$A$1001,customers!$I$1:$I$1001,,0)</f>
        <v>No</v>
      </c>
    </row>
    <row r="333" spans="1:16" x14ac:dyDescent="0.3">
      <c r="A333" s="2" t="s">
        <v>2357</v>
      </c>
      <c r="B333" s="3">
        <v>43989</v>
      </c>
      <c r="C333" s="2" t="s">
        <v>2358</v>
      </c>
      <c r="D333" t="s">
        <v>6151</v>
      </c>
      <c r="E333" s="2">
        <v>1</v>
      </c>
      <c r="F333" s="2" t="str">
        <f>_xlfn.XLOOKUP(C333,customers!$A$1:$A$1001,customers!$B$1:$B$1001, ,0)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Middle</v>
      </c>
      <c r="P333" t="str">
        <f>_xlfn.XLOOKUP(Table1[[#This Row],[Customer ID]],customers!$A$1:$A$1001,customers!$I$1:$I$1001,,0)</f>
        <v>Yes</v>
      </c>
    </row>
    <row r="334" spans="1:16" x14ac:dyDescent="0.3">
      <c r="A334" s="2" t="s">
        <v>2363</v>
      </c>
      <c r="B334" s="3">
        <v>43689</v>
      </c>
      <c r="C334" s="2" t="s">
        <v>2364</v>
      </c>
      <c r="D334" t="s">
        <v>6158</v>
      </c>
      <c r="E334" s="2">
        <v>3</v>
      </c>
      <c r="F334" s="2" t="str">
        <f>_xlfn.XLOOKUP(C334,customers!$A$1:$A$1001,customers!$B$1:$B$1001, ,0)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_xlfn.XLOOKUP(C335,customers!$A$1:$A$1001,customers!$B$1:$B$1001, ,0)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Middle</v>
      </c>
      <c r="P335" t="str">
        <f>_xlfn.XLOOKUP(Table1[[#This Row],[Customer ID]],customers!$A$1:$A$1001,customers!$I$1:$I$1001,,0)</f>
        <v>Yes</v>
      </c>
    </row>
    <row r="336" spans="1:16" x14ac:dyDescent="0.3">
      <c r="A336" s="2" t="s">
        <v>2375</v>
      </c>
      <c r="B336" s="3">
        <v>43742</v>
      </c>
      <c r="C336" s="2" t="s">
        <v>2376</v>
      </c>
      <c r="D336" t="s">
        <v>6179</v>
      </c>
      <c r="E336" s="2">
        <v>5</v>
      </c>
      <c r="F336" s="2" t="str">
        <f>_xlfn.XLOOKUP(C336,customers!$A$1:$A$1001,customers!$B$1:$B$1001, ,0)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_xlfn.XLOOKUP(C337,customers!$A$1:$A$1001,customers!$B$1:$B$1001, ,0)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_xlfn.XLOOKUP(C338,customers!$A$1:$A$1001,customers!$B$1:$B$1001, ,0)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Middle</v>
      </c>
      <c r="P338" t="str">
        <f>_xlfn.XLOOKUP(Table1[[#This Row],[Customer ID]],customers!$A$1:$A$1001,customers!$I$1:$I$1001,,0)</f>
        <v>No</v>
      </c>
    </row>
    <row r="339" spans="1:16" x14ac:dyDescent="0.3">
      <c r="A339" s="2" t="s">
        <v>2391</v>
      </c>
      <c r="B339" s="3">
        <v>44472</v>
      </c>
      <c r="C339" s="2" t="s">
        <v>2331</v>
      </c>
      <c r="D339" t="s">
        <v>6185</v>
      </c>
      <c r="E339" s="2">
        <v>2</v>
      </c>
      <c r="F339" s="2" t="str">
        <f>_xlfn.XLOOKUP(C339,customers!$A$1:$A$1001,customers!$B$1:$B$1001, ,0)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ID]],customers!$A$1:$A$1001,customers!$I$1:$I$1001,,0)</f>
        <v>No</v>
      </c>
    </row>
    <row r="340" spans="1:16" x14ac:dyDescent="0.3">
      <c r="A340" s="2" t="s">
        <v>2396</v>
      </c>
      <c r="B340" s="3">
        <v>43995</v>
      </c>
      <c r="C340" s="2" t="s">
        <v>2397</v>
      </c>
      <c r="D340" t="s">
        <v>6171</v>
      </c>
      <c r="E340" s="2">
        <v>4</v>
      </c>
      <c r="F340" s="2" t="str">
        <f>_xlfn.XLOOKUP(C340,customers!$A$1:$A$1001,customers!$B$1:$B$1001, ,0)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_xlfn.XLOOKUP(C341,customers!$A$1:$A$1001,customers!$B$1:$B$1001, ,0)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_xlfn.XLOOKUP(C342,customers!$A$1:$A$1001,customers!$B$1:$B$1001, ,0)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_xlfn.XLOOKUP(C343,customers!$A$1:$A$1001,customers!$B$1:$B$1001, ,0)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_xlfn.XLOOKUP(C344,customers!$A$1:$A$1001,customers!$B$1:$B$1001, ,0)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ID]],customers!$A$1:$A$1001,customers!$I$1:$I$1001,,0)</f>
        <v>No</v>
      </c>
    </row>
    <row r="345" spans="1:16" x14ac:dyDescent="0.3">
      <c r="A345" s="2" t="s">
        <v>2424</v>
      </c>
      <c r="B345" s="3">
        <v>43692</v>
      </c>
      <c r="C345" s="2" t="s">
        <v>2425</v>
      </c>
      <c r="D345" t="s">
        <v>6172</v>
      </c>
      <c r="E345" s="2">
        <v>6</v>
      </c>
      <c r="F345" s="2" t="str">
        <f>_xlfn.XLOOKUP(C345,customers!$A$1:$A$1001,customers!$B$1:$B$1001, ,0)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ID]],customers!$A$1:$A$1001,customers!$I$1:$I$1001,,0)</f>
        <v>No</v>
      </c>
    </row>
    <row r="346" spans="1:16" x14ac:dyDescent="0.3">
      <c r="A346" s="2" t="s">
        <v>2429</v>
      </c>
      <c r="B346" s="3">
        <v>44529</v>
      </c>
      <c r="C346" s="2" t="s">
        <v>2430</v>
      </c>
      <c r="D346" t="s">
        <v>6138</v>
      </c>
      <c r="E346" s="2">
        <v>2</v>
      </c>
      <c r="F346" s="2" t="str">
        <f>_xlfn.XLOOKUP(C346,customers!$A$1:$A$1001,customers!$B$1:$B$1001, ,0)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Middle</v>
      </c>
      <c r="P346" t="str">
        <f>_xlfn.XLOOKUP(Table1[[#This Row],[Customer ID]],customers!$A$1:$A$1001,customers!$I$1:$I$1001,,0)</f>
        <v>Yes</v>
      </c>
    </row>
    <row r="347" spans="1:16" x14ac:dyDescent="0.3">
      <c r="A347" s="2" t="s">
        <v>2434</v>
      </c>
      <c r="B347" s="3">
        <v>43849</v>
      </c>
      <c r="C347" s="2" t="s">
        <v>2435</v>
      </c>
      <c r="D347" t="s">
        <v>6179</v>
      </c>
      <c r="E347" s="2">
        <v>5</v>
      </c>
      <c r="F347" s="2" t="str">
        <f>_xlfn.XLOOKUP(C347,customers!$A$1:$A$1001,customers!$B$1:$B$1001, ,0)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_xlfn.XLOOKUP(C348,customers!$A$1:$A$1001,customers!$B$1:$B$1001, ,0)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_xlfn.XLOOKUP(C349,customers!$A$1:$A$1001,customers!$B$1:$B$1001, ,0)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Middle</v>
      </c>
      <c r="P349" t="str">
        <f>_xlfn.XLOOKUP(Table1[[#This Row],[Customer ID]],customers!$A$1:$A$1001,customers!$I$1:$I$1001,,0)</f>
        <v>No</v>
      </c>
    </row>
    <row r="350" spans="1:16" x14ac:dyDescent="0.3">
      <c r="A350" s="2" t="s">
        <v>2452</v>
      </c>
      <c r="B350" s="3">
        <v>43803</v>
      </c>
      <c r="C350" s="2" t="s">
        <v>2453</v>
      </c>
      <c r="D350" t="s">
        <v>6148</v>
      </c>
      <c r="E350" s="2">
        <v>6</v>
      </c>
      <c r="F350" s="2" t="str">
        <f>_xlfn.XLOOKUP(C350,customers!$A$1:$A$1001,customers!$B$1:$B$1001, ,0)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_xlfn.XLOOKUP(C351,customers!$A$1:$A$1001,customers!$B$1:$B$1001, ,0)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_xlfn.XLOOKUP(C352,customers!$A$1:$A$1001,customers!$B$1:$B$1001, ,0)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ID]],customers!$A$1:$A$1001,customers!$I$1:$I$1001,,0)</f>
        <v>No</v>
      </c>
    </row>
    <row r="353" spans="1:16" x14ac:dyDescent="0.3">
      <c r="A353" s="2" t="s">
        <v>2470</v>
      </c>
      <c r="B353" s="3">
        <v>44066</v>
      </c>
      <c r="C353" s="2" t="s">
        <v>2471</v>
      </c>
      <c r="D353" t="s">
        <v>6155</v>
      </c>
      <c r="E353" s="2">
        <v>2</v>
      </c>
      <c r="F353" s="2" t="str">
        <f>_xlfn.XLOOKUP(C353,customers!$A$1:$A$1001,customers!$B$1:$B$1001, ,0)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Middle</v>
      </c>
      <c r="P353" t="str">
        <f>_xlfn.XLOOKUP(Table1[[#This Row],[Customer ID]],customers!$A$1:$A$1001,customers!$I$1:$I$1001,,0)</f>
        <v>No</v>
      </c>
    </row>
    <row r="354" spans="1:16" x14ac:dyDescent="0.3">
      <c r="A354" s="2" t="s">
        <v>2476</v>
      </c>
      <c r="B354" s="3">
        <v>43984</v>
      </c>
      <c r="C354" s="2" t="s">
        <v>2331</v>
      </c>
      <c r="D354" t="s">
        <v>6144</v>
      </c>
      <c r="E354" s="2">
        <v>5</v>
      </c>
      <c r="F354" s="2" t="str">
        <f>_xlfn.XLOOKUP(C354,customers!$A$1:$A$1001,customers!$B$1:$B$1001, ,0)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ID]],customers!$A$1:$A$1001,customers!$I$1:$I$1001,,0)</f>
        <v>No</v>
      </c>
    </row>
    <row r="355" spans="1:16" x14ac:dyDescent="0.3">
      <c r="A355" s="2" t="s">
        <v>2482</v>
      </c>
      <c r="B355" s="3">
        <v>43860</v>
      </c>
      <c r="C355" s="2" t="s">
        <v>2483</v>
      </c>
      <c r="D355" t="s">
        <v>6157</v>
      </c>
      <c r="E355" s="2">
        <v>4</v>
      </c>
      <c r="F355" s="2" t="str">
        <f>_xlfn.XLOOKUP(C355,customers!$A$1:$A$1001,customers!$B$1:$B$1001, ,0)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Middle</v>
      </c>
      <c r="P355" t="str">
        <f>_xlfn.XLOOKUP(Table1[[#This Row],[Customer ID]],customers!$A$1:$A$1001,customers!$I$1:$I$1001,,0)</f>
        <v>Yes</v>
      </c>
    </row>
    <row r="356" spans="1:16" x14ac:dyDescent="0.3">
      <c r="A356" s="2" t="s">
        <v>2487</v>
      </c>
      <c r="B356" s="3">
        <v>43876</v>
      </c>
      <c r="C356" s="2" t="s">
        <v>2488</v>
      </c>
      <c r="D356" t="s">
        <v>6175</v>
      </c>
      <c r="E356" s="2">
        <v>6</v>
      </c>
      <c r="F356" s="2" t="str">
        <f>_xlfn.XLOOKUP(C356,customers!$A$1:$A$1001,customers!$B$1:$B$1001, ,0)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Middle</v>
      </c>
      <c r="P356" t="str">
        <f>_xlfn.XLOOKUP(Table1[[#This Row],[Customer ID]],customers!$A$1:$A$1001,customers!$I$1:$I$1001,,0)</f>
        <v>No</v>
      </c>
    </row>
    <row r="357" spans="1:16" x14ac:dyDescent="0.3">
      <c r="A357" s="2" t="s">
        <v>2492</v>
      </c>
      <c r="B357" s="3">
        <v>44358</v>
      </c>
      <c r="C357" s="2" t="s">
        <v>2493</v>
      </c>
      <c r="D357" t="s">
        <v>6168</v>
      </c>
      <c r="E357" s="2">
        <v>5</v>
      </c>
      <c r="F357" s="2" t="str">
        <f>_xlfn.XLOOKUP(C357,customers!$A$1:$A$1001,customers!$B$1:$B$1001, ,0)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_xlfn.XLOOKUP(C358,customers!$A$1:$A$1001,customers!$B$1:$B$1001, ,0)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_xlfn.XLOOKUP(C359,customers!$A$1:$A$1001,customers!$B$1:$B$1001, ,0)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Middle</v>
      </c>
      <c r="P359" t="str">
        <f>_xlfn.XLOOKUP(Table1[[#This Row],[Customer ID]],customers!$A$1:$A$1001,customers!$I$1:$I$1001,,0)</f>
        <v>No</v>
      </c>
    </row>
    <row r="360" spans="1:16" x14ac:dyDescent="0.3">
      <c r="A360" s="2" t="s">
        <v>2509</v>
      </c>
      <c r="B360" s="3">
        <v>43599</v>
      </c>
      <c r="C360" s="2" t="s">
        <v>2510</v>
      </c>
      <c r="D360" t="s">
        <v>6182</v>
      </c>
      <c r="E360" s="2">
        <v>1</v>
      </c>
      <c r="F360" s="2" t="str">
        <f>_xlfn.XLOOKUP(C360,customers!$A$1:$A$1001,customers!$B$1:$B$1001, ,0)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_xlfn.XLOOKUP(C361,customers!$A$1:$A$1001,customers!$B$1:$B$1001, ,0)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_xlfn.XLOOKUP(C362,customers!$A$1:$A$1001,customers!$B$1:$B$1001, ,0)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3">
      <c r="A363" s="2" t="s">
        <v>2521</v>
      </c>
      <c r="B363" s="3">
        <v>44058</v>
      </c>
      <c r="C363" s="2" t="s">
        <v>2522</v>
      </c>
      <c r="D363" t="s">
        <v>6146</v>
      </c>
      <c r="E363" s="2">
        <v>1</v>
      </c>
      <c r="F363" s="2" t="str">
        <f>_xlfn.XLOOKUP(C363,customers!$A$1:$A$1001,customers!$B$1:$B$1001, ,0)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Middle</v>
      </c>
      <c r="P363" t="str">
        <f>_xlfn.XLOOKUP(Table1[[#This Row],[Customer ID]],customers!$A$1:$A$1001,customers!$I$1:$I$1001,,0)</f>
        <v>No</v>
      </c>
    </row>
    <row r="364" spans="1:16" x14ac:dyDescent="0.3">
      <c r="A364" s="2" t="s">
        <v>2532</v>
      </c>
      <c r="B364" s="3">
        <v>44686</v>
      </c>
      <c r="C364" s="2" t="s">
        <v>2533</v>
      </c>
      <c r="D364" t="s">
        <v>6171</v>
      </c>
      <c r="E364" s="2">
        <v>5</v>
      </c>
      <c r="F364" s="2" t="str">
        <f>_xlfn.XLOOKUP(C364,customers!$A$1:$A$1001,customers!$B$1:$B$1001, ,0)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_xlfn.XLOOKUP(C365,customers!$A$1:$A$1001,customers!$B$1:$B$1001, ,0)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Middle</v>
      </c>
      <c r="P365" t="str">
        <f>_xlfn.XLOOKUP(Table1[[#This Row],[Customer ID]],customers!$A$1:$A$1001,customers!$I$1:$I$1001,,0)</f>
        <v>No</v>
      </c>
    </row>
    <row r="366" spans="1:16" x14ac:dyDescent="0.3">
      <c r="A366" s="2" t="s">
        <v>2543</v>
      </c>
      <c r="B366" s="3">
        <v>43582</v>
      </c>
      <c r="C366" s="2" t="s">
        <v>2544</v>
      </c>
      <c r="D366" t="s">
        <v>6183</v>
      </c>
      <c r="E366" s="2">
        <v>6</v>
      </c>
      <c r="F366" s="2" t="str">
        <f>_xlfn.XLOOKUP(C366,customers!$A$1:$A$1001,customers!$B$1:$B$1001, ,0)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_xlfn.XLOOKUP(C367,customers!$A$1:$A$1001,customers!$B$1:$B$1001, ,0)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ID]],customers!$A$1:$A$1001,customers!$I$1:$I$1001,,0)</f>
        <v>No</v>
      </c>
    </row>
    <row r="368" spans="1:16" x14ac:dyDescent="0.3">
      <c r="A368" s="2" t="s">
        <v>2554</v>
      </c>
      <c r="B368" s="3">
        <v>43874</v>
      </c>
      <c r="C368" s="2" t="s">
        <v>2555</v>
      </c>
      <c r="D368" t="s">
        <v>6144</v>
      </c>
      <c r="E368" s="2">
        <v>6</v>
      </c>
      <c r="F368" s="2" t="str">
        <f>_xlfn.XLOOKUP(C368,customers!$A$1:$A$1001,customers!$B$1:$B$1001, ,0)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ID]],customers!$A$1:$A$1001,customers!$I$1:$I$1001,,0)</f>
        <v>No</v>
      </c>
    </row>
    <row r="369" spans="1:16" x14ac:dyDescent="0.3">
      <c r="A369" s="2" t="s">
        <v>2559</v>
      </c>
      <c r="B369" s="3">
        <v>44393</v>
      </c>
      <c r="C369" s="2" t="s">
        <v>2560</v>
      </c>
      <c r="D369" t="s">
        <v>6159</v>
      </c>
      <c r="E369" s="2">
        <v>2</v>
      </c>
      <c r="F369" s="2" t="str">
        <f>_xlfn.XLOOKUP(C369,customers!$A$1:$A$1001,customers!$B$1:$B$1001, ,0)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Middle</v>
      </c>
      <c r="P369" t="str">
        <f>_xlfn.XLOOKUP(Table1[[#This Row],[Customer ID]],customers!$A$1:$A$1001,customers!$I$1:$I$1001,,0)</f>
        <v>Yes</v>
      </c>
    </row>
    <row r="370" spans="1:16" x14ac:dyDescent="0.3">
      <c r="A370" s="2" t="s">
        <v>2563</v>
      </c>
      <c r="B370" s="3">
        <v>44692</v>
      </c>
      <c r="C370" s="2" t="s">
        <v>2564</v>
      </c>
      <c r="D370" t="s">
        <v>6166</v>
      </c>
      <c r="E370" s="2">
        <v>2</v>
      </c>
      <c r="F370" s="2" t="str">
        <f>_xlfn.XLOOKUP(C370,customers!$A$1:$A$1001,customers!$B$1:$B$1001, ,0)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Middle</v>
      </c>
      <c r="P370" t="str">
        <f>_xlfn.XLOOKUP(Table1[[#This Row],[Customer ID]],customers!$A$1:$A$1001,customers!$I$1:$I$1001,,0)</f>
        <v>No</v>
      </c>
    </row>
    <row r="371" spans="1:16" x14ac:dyDescent="0.3">
      <c r="A371" s="2" t="s">
        <v>2569</v>
      </c>
      <c r="B371" s="3">
        <v>43500</v>
      </c>
      <c r="C371" s="2" t="s">
        <v>2570</v>
      </c>
      <c r="D371" t="s">
        <v>6176</v>
      </c>
      <c r="E371" s="2">
        <v>1</v>
      </c>
      <c r="F371" s="2" t="str">
        <f>_xlfn.XLOOKUP(C371,customers!$A$1:$A$1001,customers!$B$1:$B$1001, ,0)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_xlfn.XLOOKUP(C372,customers!$A$1:$A$1001,customers!$B$1:$B$1001, ,0)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_xlfn.XLOOKUP(C373,customers!$A$1:$A$1001,customers!$B$1:$B$1001, ,0)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_xlfn.XLOOKUP(C374,customers!$A$1:$A$1001,customers!$B$1:$B$1001, ,0)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_xlfn.XLOOKUP(C375,customers!$A$1:$A$1001,customers!$B$1:$B$1001, ,0)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_xlfn.XLOOKUP(C376,customers!$A$1:$A$1001,customers!$B$1:$B$1001, ,0)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_xlfn.XLOOKUP(C377,customers!$A$1:$A$1001,customers!$B$1:$B$1001, ,0)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Middle</v>
      </c>
      <c r="P377" t="str">
        <f>_xlfn.XLOOKUP(Table1[[#This Row],[Customer ID]],customers!$A$1:$A$1001,customers!$I$1:$I$1001,,0)</f>
        <v>Yes</v>
      </c>
    </row>
    <row r="378" spans="1:16" x14ac:dyDescent="0.3">
      <c r="A378" s="2" t="s">
        <v>2609</v>
      </c>
      <c r="B378" s="3">
        <v>44097</v>
      </c>
      <c r="C378" s="2" t="s">
        <v>2610</v>
      </c>
      <c r="D378" t="s">
        <v>6146</v>
      </c>
      <c r="E378" s="2">
        <v>1</v>
      </c>
      <c r="F378" s="2" t="str">
        <f>_xlfn.XLOOKUP(C378,customers!$A$1:$A$1001,customers!$B$1:$B$1001, ,0)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Middle</v>
      </c>
      <c r="P378" t="str">
        <f>_xlfn.XLOOKUP(Table1[[#This Row],[Customer ID]],customers!$A$1:$A$1001,customers!$I$1:$I$1001,,0)</f>
        <v>Yes</v>
      </c>
    </row>
    <row r="379" spans="1:16" x14ac:dyDescent="0.3">
      <c r="A379" s="2" t="s">
        <v>2615</v>
      </c>
      <c r="B379" s="3">
        <v>43532</v>
      </c>
      <c r="C379" s="2" t="s">
        <v>2616</v>
      </c>
      <c r="D379" t="s">
        <v>6163</v>
      </c>
      <c r="E379" s="2">
        <v>3</v>
      </c>
      <c r="F379" s="2" t="str">
        <f>_xlfn.XLOOKUP(C379,customers!$A$1:$A$1001,customers!$B$1:$B$1001, ,0)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3">
      <c r="A380" s="2" t="s">
        <v>2621</v>
      </c>
      <c r="B380" s="3">
        <v>44377</v>
      </c>
      <c r="C380" s="2" t="s">
        <v>2622</v>
      </c>
      <c r="D380" t="s">
        <v>6180</v>
      </c>
      <c r="E380" s="2">
        <v>3</v>
      </c>
      <c r="F380" s="2" t="str">
        <f>_xlfn.XLOOKUP(C380,customers!$A$1:$A$1001,customers!$B$1:$B$1001, ,0)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_xlfn.XLOOKUP(C381,customers!$A$1:$A$1001,customers!$B$1:$B$1001, ,0)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_xlfn.XLOOKUP(C382,customers!$A$1:$A$1001,customers!$B$1:$B$1001, ,0)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ID]],customers!$A$1:$A$1001,customers!$I$1:$I$1001,,0)</f>
        <v>No</v>
      </c>
    </row>
    <row r="383" spans="1:16" x14ac:dyDescent="0.3">
      <c r="A383" s="2" t="s">
        <v>2638</v>
      </c>
      <c r="B383" s="3">
        <v>44646</v>
      </c>
      <c r="C383" s="2" t="s">
        <v>2639</v>
      </c>
      <c r="D383" t="s">
        <v>6154</v>
      </c>
      <c r="E383" s="2">
        <v>5</v>
      </c>
      <c r="F383" s="2" t="str">
        <f>_xlfn.XLOOKUP(C383,customers!$A$1:$A$1001,customers!$B$1:$B$1001, ,0)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_xlfn.XLOOKUP(C384,customers!$A$1:$A$1001,customers!$B$1:$B$1001, ,0)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ID]],customers!$A$1:$A$1001,customers!$I$1:$I$1001,,0)</f>
        <v>No</v>
      </c>
    </row>
    <row r="385" spans="1:16" x14ac:dyDescent="0.3">
      <c r="A385" s="2" t="s">
        <v>2650</v>
      </c>
      <c r="B385" s="3">
        <v>43586</v>
      </c>
      <c r="C385" s="2" t="s">
        <v>2651</v>
      </c>
      <c r="D385" t="s">
        <v>6176</v>
      </c>
      <c r="E385" s="2">
        <v>6</v>
      </c>
      <c r="F385" s="2" t="str">
        <f>_xlfn.XLOOKUP(C385,customers!$A$1:$A$1001,customers!$B$1:$B$1001, ,0)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_xlfn.XLOOKUP(C386,customers!$A$1:$A$1001,customers!$B$1:$B$1001, ,0)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_xlfn.XLOOKUP(C387,customers!$A$1:$A$1001,customers!$B$1:$B$1001, ,0)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IF(I387="Rob","Robusta",IF(I387="Ara","Arabica",IF(I387="Lib","Liberica",IF(I387="Exc","Excelsa",""))))</f>
        <v>Liberica</v>
      </c>
      <c r="O387" t="str">
        <f t="shared" ref="O387:O450" si="20">IF(J387="M","Middle",IF(J387="L","Light",IF(J387="D","Dark","")))</f>
        <v>Middle</v>
      </c>
      <c r="P387" t="str">
        <f>_xlfn.XLOOKUP(Table1[[#This Row],[Customer ID]],customers!$A$1:$A$1001,customers!$I$1:$I$1001,,0)</f>
        <v>Yes</v>
      </c>
    </row>
    <row r="388" spans="1:16" x14ac:dyDescent="0.3">
      <c r="A388" s="2" t="s">
        <v>2666</v>
      </c>
      <c r="B388" s="3">
        <v>44083</v>
      </c>
      <c r="C388" s="2" t="s">
        <v>2667</v>
      </c>
      <c r="D388" t="s">
        <v>6154</v>
      </c>
      <c r="E388" s="2">
        <v>6</v>
      </c>
      <c r="F388" s="2" t="str">
        <f>_xlfn.XLOOKUP(C388,customers!$A$1:$A$1001,customers!$B$1:$B$1001, ,0)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_xlfn.XLOOKUP(C389,customers!$A$1:$A$1001,customers!$B$1:$B$1001, ,0)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_xlfn.XLOOKUP(C390,customers!$A$1:$A$1001,customers!$B$1:$B$1001, ,0)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_xlfn.XLOOKUP(C391,customers!$A$1:$A$1001,customers!$B$1:$B$1001, ,0)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_xlfn.XLOOKUP(C392,customers!$A$1:$A$1001,customers!$B$1:$B$1001, ,0)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_xlfn.XLOOKUP(C393,customers!$A$1:$A$1001,customers!$B$1:$B$1001, ,0)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Middle</v>
      </c>
      <c r="P393" t="str">
        <f>_xlfn.XLOOKUP(Table1[[#This Row],[Customer ID]],customers!$A$1:$A$1001,customers!$I$1:$I$1001,,0)</f>
        <v>No</v>
      </c>
    </row>
    <row r="394" spans="1:16" x14ac:dyDescent="0.3">
      <c r="A394" s="2" t="s">
        <v>2699</v>
      </c>
      <c r="B394" s="3">
        <v>44445</v>
      </c>
      <c r="C394" s="2" t="s">
        <v>2700</v>
      </c>
      <c r="D394" t="s">
        <v>6171</v>
      </c>
      <c r="E394" s="2">
        <v>6</v>
      </c>
      <c r="F394" s="2" t="str">
        <f>_xlfn.XLOOKUP(C394,customers!$A$1:$A$1001,customers!$B$1:$B$1001, ,0)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_xlfn.XLOOKUP(C395,customers!$A$1:$A$1001,customers!$B$1:$B$1001, ,0)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_xlfn.XLOOKUP(C396,customers!$A$1:$A$1001,customers!$B$1:$B$1001, ,0)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_xlfn.XLOOKUP(C397,customers!$A$1:$A$1001,customers!$B$1:$B$1001, ,0)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_xlfn.XLOOKUP(C398,customers!$A$1:$A$1001,customers!$B$1:$B$1001, ,0)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_xlfn.XLOOKUP(C399,customers!$A$1:$A$1001,customers!$B$1:$B$1001, ,0)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_xlfn.XLOOKUP(C400,customers!$A$1:$A$1001,customers!$B$1:$B$1001, ,0)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_xlfn.XLOOKUP(C401,customers!$A$1:$A$1001,customers!$B$1:$B$1001, ,0)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3">
      <c r="A402" s="2" t="s">
        <v>2745</v>
      </c>
      <c r="B402" s="3">
        <v>44332</v>
      </c>
      <c r="C402" s="2" t="s">
        <v>2746</v>
      </c>
      <c r="D402" t="s">
        <v>6170</v>
      </c>
      <c r="E402" s="2">
        <v>4</v>
      </c>
      <c r="F402" s="2" t="str">
        <f>_xlfn.XLOOKUP(C402,customers!$A$1:$A$1001,customers!$B$1:$B$1001, ,0)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_xlfn.XLOOKUP(C403,customers!$A$1:$A$1001,customers!$B$1:$B$1001, ,0)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Middle</v>
      </c>
      <c r="P403" t="str">
        <f>_xlfn.XLOOKUP(Table1[[#This Row],[Customer ID]],customers!$A$1:$A$1001,customers!$I$1:$I$1001,,0)</f>
        <v>Yes</v>
      </c>
    </row>
    <row r="404" spans="1:16" x14ac:dyDescent="0.3">
      <c r="A404" s="2" t="s">
        <v>2757</v>
      </c>
      <c r="B404" s="3">
        <v>43502</v>
      </c>
      <c r="C404" s="2" t="s">
        <v>2758</v>
      </c>
      <c r="D404" t="s">
        <v>6177</v>
      </c>
      <c r="E404" s="2">
        <v>3</v>
      </c>
      <c r="F404" s="2" t="str">
        <f>_xlfn.XLOOKUP(C404,customers!$A$1:$A$1001,customers!$B$1:$B$1001, ,0)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_xlfn.XLOOKUP(C405,customers!$A$1:$A$1001,customers!$B$1:$B$1001, ,0)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_xlfn.XLOOKUP(C406,customers!$A$1:$A$1001,customers!$B$1:$B$1001, ,0)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3">
      <c r="A407" s="2" t="s">
        <v>2775</v>
      </c>
      <c r="B407" s="3">
        <v>44167</v>
      </c>
      <c r="C407" s="2" t="s">
        <v>2776</v>
      </c>
      <c r="D407" t="s">
        <v>6139</v>
      </c>
      <c r="E407" s="2">
        <v>3</v>
      </c>
      <c r="F407" s="2" t="str">
        <f>_xlfn.XLOOKUP(C407,customers!$A$1:$A$1001,customers!$B$1:$B$1001, ,0)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Middle</v>
      </c>
      <c r="P407" t="str">
        <f>_xlfn.XLOOKUP(Table1[[#This Row],[Customer ID]],customers!$A$1:$A$1001,customers!$I$1:$I$1001,,0)</f>
        <v>Yes</v>
      </c>
    </row>
    <row r="408" spans="1:16" x14ac:dyDescent="0.3">
      <c r="A408" s="2" t="s">
        <v>2781</v>
      </c>
      <c r="B408" s="3">
        <v>44416</v>
      </c>
      <c r="C408" s="2" t="s">
        <v>2782</v>
      </c>
      <c r="D408" t="s">
        <v>6141</v>
      </c>
      <c r="E408" s="2">
        <v>5</v>
      </c>
      <c r="F408" s="2" t="str">
        <f>_xlfn.XLOOKUP(C408,customers!$A$1:$A$1001,customers!$B$1:$B$1001, ,0)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Middle</v>
      </c>
      <c r="P408" t="str">
        <f>_xlfn.XLOOKUP(Table1[[#This Row],[Customer ID]],customers!$A$1:$A$1001,customers!$I$1:$I$1001,,0)</f>
        <v>Yes</v>
      </c>
    </row>
    <row r="409" spans="1:16" x14ac:dyDescent="0.3">
      <c r="A409" s="2" t="s">
        <v>2787</v>
      </c>
      <c r="B409" s="3">
        <v>44595</v>
      </c>
      <c r="C409" s="2" t="s">
        <v>2788</v>
      </c>
      <c r="D409" t="s">
        <v>6139</v>
      </c>
      <c r="E409" s="2">
        <v>6</v>
      </c>
      <c r="F409" s="2" t="str">
        <f>_xlfn.XLOOKUP(C409,customers!$A$1:$A$1001,customers!$B$1:$B$1001, ,0)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Middle</v>
      </c>
      <c r="P409" t="str">
        <f>_xlfn.XLOOKUP(Table1[[#This Row],[Customer ID]],customers!$A$1:$A$1001,customers!$I$1:$I$1001,,0)</f>
        <v>No</v>
      </c>
    </row>
    <row r="410" spans="1:16" x14ac:dyDescent="0.3">
      <c r="A410" s="2" t="s">
        <v>2792</v>
      </c>
      <c r="B410" s="3">
        <v>44659</v>
      </c>
      <c r="C410" s="2" t="s">
        <v>2793</v>
      </c>
      <c r="D410" t="s">
        <v>6175</v>
      </c>
      <c r="E410" s="2">
        <v>2</v>
      </c>
      <c r="F410" s="2" t="str">
        <f>_xlfn.XLOOKUP(C410,customers!$A$1:$A$1001,customers!$B$1:$B$1001, ,0)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Middle</v>
      </c>
      <c r="P410" t="str">
        <f>_xlfn.XLOOKUP(Table1[[#This Row],[Customer ID]],customers!$A$1:$A$1001,customers!$I$1:$I$1001,,0)</f>
        <v>Yes</v>
      </c>
    </row>
    <row r="411" spans="1:16" x14ac:dyDescent="0.3">
      <c r="A411" s="2" t="s">
        <v>2798</v>
      </c>
      <c r="B411" s="3">
        <v>44203</v>
      </c>
      <c r="C411" s="2" t="s">
        <v>2799</v>
      </c>
      <c r="D411" t="s">
        <v>6170</v>
      </c>
      <c r="E411" s="2">
        <v>3</v>
      </c>
      <c r="F411" s="2" t="str">
        <f>_xlfn.XLOOKUP(C411,customers!$A$1:$A$1001,customers!$B$1:$B$1001, ,0)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_xlfn.XLOOKUP(C412,customers!$A$1:$A$1001,customers!$B$1:$B$1001, ,0)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_xlfn.XLOOKUP(C413,customers!$A$1:$A$1001,customers!$B$1:$B$1001, ,0)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Middle</v>
      </c>
      <c r="P413" t="str">
        <f>_xlfn.XLOOKUP(Table1[[#This Row],[Customer ID]],customers!$A$1:$A$1001,customers!$I$1:$I$1001,,0)</f>
        <v>Yes</v>
      </c>
    </row>
    <row r="414" spans="1:16" x14ac:dyDescent="0.3">
      <c r="A414" s="2" t="s">
        <v>2813</v>
      </c>
      <c r="B414" s="3">
        <v>44410</v>
      </c>
      <c r="C414" s="2" t="s">
        <v>2814</v>
      </c>
      <c r="D414" t="s">
        <v>6155</v>
      </c>
      <c r="E414" s="2">
        <v>5</v>
      </c>
      <c r="F414" s="2" t="str">
        <f>_xlfn.XLOOKUP(C414,customers!$A$1:$A$1001,customers!$B$1:$B$1001, ,0)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Middle</v>
      </c>
      <c r="P414" t="str">
        <f>_xlfn.XLOOKUP(Table1[[#This Row],[Customer ID]],customers!$A$1:$A$1001,customers!$I$1:$I$1001,,0)</f>
        <v>Yes</v>
      </c>
    </row>
    <row r="415" spans="1:16" x14ac:dyDescent="0.3">
      <c r="A415" s="2" t="s">
        <v>2818</v>
      </c>
      <c r="B415" s="3">
        <v>43857</v>
      </c>
      <c r="C415" s="2" t="s">
        <v>2819</v>
      </c>
      <c r="D415" t="s">
        <v>6164</v>
      </c>
      <c r="E415" s="2">
        <v>1</v>
      </c>
      <c r="F415" s="2" t="str">
        <f>_xlfn.XLOOKUP(C415,customers!$A$1:$A$1001,customers!$B$1:$B$1001, ,0)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_xlfn.XLOOKUP(C416,customers!$A$1:$A$1001,customers!$B$1:$B$1001, ,0)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_xlfn.XLOOKUP(C417,customers!$A$1:$A$1001,customers!$B$1:$B$1001, ,0)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Middle</v>
      </c>
      <c r="P417" t="str">
        <f>_xlfn.XLOOKUP(Table1[[#This Row],[Customer ID]],customers!$A$1:$A$1001,customers!$I$1:$I$1001,,0)</f>
        <v>No</v>
      </c>
    </row>
    <row r="418" spans="1:16" x14ac:dyDescent="0.3">
      <c r="A418" s="2" t="s">
        <v>2834</v>
      </c>
      <c r="B418" s="3">
        <v>43901</v>
      </c>
      <c r="C418" s="2" t="s">
        <v>2835</v>
      </c>
      <c r="D418" t="s">
        <v>6180</v>
      </c>
      <c r="E418" s="2">
        <v>3</v>
      </c>
      <c r="F418" s="2" t="str">
        <f>_xlfn.XLOOKUP(C418,customers!$A$1:$A$1001,customers!$B$1:$B$1001, ,0)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_xlfn.XLOOKUP(C419,customers!$A$1:$A$1001,customers!$B$1:$B$1001, ,0)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_xlfn.XLOOKUP(C420,customers!$A$1:$A$1001,customers!$B$1:$B$1001, ,0)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_xlfn.XLOOKUP(C421,customers!$A$1:$A$1001,customers!$B$1:$B$1001, ,0)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Middle</v>
      </c>
      <c r="P421" t="str">
        <f>_xlfn.XLOOKUP(Table1[[#This Row],[Customer ID]],customers!$A$1:$A$1001,customers!$I$1:$I$1001,,0)</f>
        <v>Yes</v>
      </c>
    </row>
    <row r="422" spans="1:16" x14ac:dyDescent="0.3">
      <c r="A422" s="2" t="s">
        <v>2855</v>
      </c>
      <c r="B422" s="3">
        <v>43866</v>
      </c>
      <c r="C422" s="2" t="s">
        <v>2586</v>
      </c>
      <c r="D422" t="s">
        <v>6169</v>
      </c>
      <c r="E422" s="2">
        <v>4</v>
      </c>
      <c r="F422" s="2" t="str">
        <f>_xlfn.XLOOKUP(C422,customers!$A$1:$A$1001,customers!$B$1:$B$1001, ,0)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ID]],customers!$A$1:$A$1001,customers!$I$1:$I$1001,,0)</f>
        <v>No</v>
      </c>
    </row>
    <row r="423" spans="1:16" x14ac:dyDescent="0.3">
      <c r="A423" s="2" t="s">
        <v>2855</v>
      </c>
      <c r="B423" s="3">
        <v>43866</v>
      </c>
      <c r="C423" s="2" t="s">
        <v>2586</v>
      </c>
      <c r="D423" t="s">
        <v>6168</v>
      </c>
      <c r="E423" s="2">
        <v>6</v>
      </c>
      <c r="F423" s="2" t="str">
        <f>_xlfn.XLOOKUP(C423,customers!$A$1:$A$1001,customers!$B$1:$B$1001, ,0)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3">
      <c r="A424" s="2" t="s">
        <v>2866</v>
      </c>
      <c r="B424" s="3">
        <v>43868</v>
      </c>
      <c r="C424" s="2" t="s">
        <v>2867</v>
      </c>
      <c r="D424" t="s">
        <v>6158</v>
      </c>
      <c r="E424" s="2">
        <v>5</v>
      </c>
      <c r="F424" s="2" t="str">
        <f>_xlfn.XLOOKUP(C424,customers!$A$1:$A$1001,customers!$B$1:$B$1001, ,0)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ID]],customers!$A$1:$A$1001,customers!$I$1:$I$1001,,0)</f>
        <v>No</v>
      </c>
    </row>
    <row r="425" spans="1:16" x14ac:dyDescent="0.3">
      <c r="A425" s="2" t="s">
        <v>2871</v>
      </c>
      <c r="B425" s="3">
        <v>44183</v>
      </c>
      <c r="C425" s="2" t="s">
        <v>2872</v>
      </c>
      <c r="D425" t="s">
        <v>6146</v>
      </c>
      <c r="E425" s="2">
        <v>3</v>
      </c>
      <c r="F425" s="2" t="str">
        <f>_xlfn.XLOOKUP(C425,customers!$A$1:$A$1001,customers!$B$1:$B$1001, ,0)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Middle</v>
      </c>
      <c r="P425" t="str">
        <f>_xlfn.XLOOKUP(Table1[[#This Row],[Customer ID]],customers!$A$1:$A$1001,customers!$I$1:$I$1001,,0)</f>
        <v>No</v>
      </c>
    </row>
    <row r="426" spans="1:16" x14ac:dyDescent="0.3">
      <c r="A426" s="2" t="s">
        <v>2876</v>
      </c>
      <c r="B426" s="3">
        <v>44431</v>
      </c>
      <c r="C426" s="2" t="s">
        <v>2877</v>
      </c>
      <c r="D426" t="s">
        <v>6176</v>
      </c>
      <c r="E426" s="2">
        <v>3</v>
      </c>
      <c r="F426" s="2" t="str">
        <f>_xlfn.XLOOKUP(C426,customers!$A$1:$A$1001,customers!$B$1:$B$1001, ,0)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_xlfn.XLOOKUP(C427,customers!$A$1:$A$1001,customers!$B$1:$B$1001, ,0)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3">
      <c r="A428" s="2" t="s">
        <v>2888</v>
      </c>
      <c r="B428" s="3">
        <v>43556</v>
      </c>
      <c r="C428" s="2" t="s">
        <v>2889</v>
      </c>
      <c r="D428" t="s">
        <v>6178</v>
      </c>
      <c r="E428" s="2">
        <v>4</v>
      </c>
      <c r="F428" s="2" t="str">
        <f>_xlfn.XLOOKUP(C428,customers!$A$1:$A$1001,customers!$B$1:$B$1001, ,0)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_xlfn.XLOOKUP(C429,customers!$A$1:$A$1001,customers!$B$1:$B$1001, ,0)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Middle</v>
      </c>
      <c r="P429" t="str">
        <f>_xlfn.XLOOKUP(Table1[[#This Row],[Customer ID]],customers!$A$1:$A$1001,customers!$I$1:$I$1001,,0)</f>
        <v>Yes</v>
      </c>
    </row>
    <row r="430" spans="1:16" x14ac:dyDescent="0.3">
      <c r="A430" s="2" t="s">
        <v>2899</v>
      </c>
      <c r="B430" s="3">
        <v>43759</v>
      </c>
      <c r="C430" s="2" t="s">
        <v>2900</v>
      </c>
      <c r="D430" t="s">
        <v>6179</v>
      </c>
      <c r="E430" s="2">
        <v>5</v>
      </c>
      <c r="F430" s="2" t="str">
        <f>_xlfn.XLOOKUP(C430,customers!$A$1:$A$1001,customers!$B$1:$B$1001, ,0)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_xlfn.XLOOKUP(C431,customers!$A$1:$A$1001,customers!$B$1:$B$1001, ,0)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_xlfn.XLOOKUP(C432,customers!$A$1:$A$1001,customers!$B$1:$B$1001, ,0)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_xlfn.XLOOKUP(C433,customers!$A$1:$A$1001,customers!$B$1:$B$1001, ,0)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_xlfn.XLOOKUP(C434,customers!$A$1:$A$1001,customers!$B$1:$B$1001, ,0)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Middle</v>
      </c>
      <c r="P434" t="str">
        <f>_xlfn.XLOOKUP(Table1[[#This Row],[Customer ID]],customers!$A$1:$A$1001,customers!$I$1:$I$1001,,0)</f>
        <v>No</v>
      </c>
    </row>
    <row r="435" spans="1:16" x14ac:dyDescent="0.3">
      <c r="A435" s="2" t="s">
        <v>2928</v>
      </c>
      <c r="B435" s="3">
        <v>44563</v>
      </c>
      <c r="C435" s="2" t="s">
        <v>2929</v>
      </c>
      <c r="D435" t="s">
        <v>6181</v>
      </c>
      <c r="E435" s="2">
        <v>6</v>
      </c>
      <c r="F435" s="2" t="str">
        <f>_xlfn.XLOOKUP(C435,customers!$A$1:$A$1001,customers!$B$1:$B$1001, ,0)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Middle</v>
      </c>
      <c r="P435" t="str">
        <f>_xlfn.XLOOKUP(Table1[[#This Row],[Customer ID]],customers!$A$1:$A$1001,customers!$I$1:$I$1001,,0)</f>
        <v>Yes</v>
      </c>
    </row>
    <row r="436" spans="1:16" x14ac:dyDescent="0.3">
      <c r="A436" s="2" t="s">
        <v>2934</v>
      </c>
      <c r="B436" s="3">
        <v>43807</v>
      </c>
      <c r="C436" s="2" t="s">
        <v>2935</v>
      </c>
      <c r="D436" t="s">
        <v>6155</v>
      </c>
      <c r="E436" s="2">
        <v>6</v>
      </c>
      <c r="F436" s="2" t="str">
        <f>_xlfn.XLOOKUP(C436,customers!$A$1:$A$1001,customers!$B$1:$B$1001, ,0)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Middle</v>
      </c>
      <c r="P436" t="str">
        <f>_xlfn.XLOOKUP(Table1[[#This Row],[Customer ID]],customers!$A$1:$A$1001,customers!$I$1:$I$1001,,0)</f>
        <v>No</v>
      </c>
    </row>
    <row r="437" spans="1:16" x14ac:dyDescent="0.3">
      <c r="A437" s="2" t="s">
        <v>2939</v>
      </c>
      <c r="B437" s="3">
        <v>44528</v>
      </c>
      <c r="C437" s="2" t="s">
        <v>2940</v>
      </c>
      <c r="D437" t="s">
        <v>6139</v>
      </c>
      <c r="E437" s="2">
        <v>1</v>
      </c>
      <c r="F437" s="2" t="str">
        <f>_xlfn.XLOOKUP(C437,customers!$A$1:$A$1001,customers!$B$1:$B$1001, ,0)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Middle</v>
      </c>
      <c r="P437" t="str">
        <f>_xlfn.XLOOKUP(Table1[[#This Row],[Customer ID]],customers!$A$1:$A$1001,customers!$I$1:$I$1001,,0)</f>
        <v>No</v>
      </c>
    </row>
    <row r="438" spans="1:16" x14ac:dyDescent="0.3">
      <c r="A438" s="2" t="s">
        <v>2945</v>
      </c>
      <c r="B438" s="3">
        <v>44631</v>
      </c>
      <c r="C438" s="2" t="s">
        <v>2946</v>
      </c>
      <c r="D438" t="s">
        <v>6145</v>
      </c>
      <c r="E438" s="2">
        <v>2</v>
      </c>
      <c r="F438" s="2" t="str">
        <f>_xlfn.XLOOKUP(C438,customers!$A$1:$A$1001,customers!$B$1:$B$1001, ,0)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_xlfn.XLOOKUP(C439,customers!$A$1:$A$1001,customers!$B$1:$B$1001, ,0)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3">
      <c r="A440" s="2" t="s">
        <v>2956</v>
      </c>
      <c r="B440" s="3">
        <v>43483</v>
      </c>
      <c r="C440" s="2" t="s">
        <v>3042</v>
      </c>
      <c r="D440" t="s">
        <v>6169</v>
      </c>
      <c r="E440" s="2">
        <v>2</v>
      </c>
      <c r="F440" s="2" t="str">
        <f>_xlfn.XLOOKUP(C440,customers!$A$1:$A$1001,customers!$B$1:$B$1001, ,0)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ID]],customers!$A$1:$A$1001,customers!$I$1:$I$1001,,0)</f>
        <v>No</v>
      </c>
    </row>
    <row r="441" spans="1:16" x14ac:dyDescent="0.3">
      <c r="A441" s="2" t="s">
        <v>2962</v>
      </c>
      <c r="B441" s="3">
        <v>43562</v>
      </c>
      <c r="C441" s="2" t="s">
        <v>2963</v>
      </c>
      <c r="D441" t="s">
        <v>6176</v>
      </c>
      <c r="E441" s="2">
        <v>4</v>
      </c>
      <c r="F441" s="2" t="str">
        <f>_xlfn.XLOOKUP(C441,customers!$A$1:$A$1001,customers!$B$1:$B$1001, ,0)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_xlfn.XLOOKUP(C442,customers!$A$1:$A$1001,customers!$B$1:$B$1001, ,0)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Middle</v>
      </c>
      <c r="P442" t="str">
        <f>_xlfn.XLOOKUP(Table1[[#This Row],[Customer ID]],customers!$A$1:$A$1001,customers!$I$1:$I$1001,,0)</f>
        <v>Yes</v>
      </c>
    </row>
    <row r="443" spans="1:16" x14ac:dyDescent="0.3">
      <c r="A443" s="2" t="s">
        <v>2974</v>
      </c>
      <c r="B443" s="3">
        <v>43573</v>
      </c>
      <c r="C443" s="2" t="s">
        <v>2975</v>
      </c>
      <c r="D443" t="s">
        <v>6183</v>
      </c>
      <c r="E443" s="2">
        <v>3</v>
      </c>
      <c r="F443" s="2" t="str">
        <f>_xlfn.XLOOKUP(C443,customers!$A$1:$A$1001,customers!$B$1:$B$1001, ,0)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_xlfn.XLOOKUP(C444,customers!$A$1:$A$1001,customers!$B$1:$B$1001, ,0)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_xlfn.XLOOKUP(C445,customers!$A$1:$A$1001,customers!$B$1:$B$1001, ,0)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_xlfn.XLOOKUP(C446,customers!$A$1:$A$1001,customers!$B$1:$B$1001, ,0)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Middle</v>
      </c>
      <c r="P446" t="str">
        <f>_xlfn.XLOOKUP(Table1[[#This Row],[Customer ID]],customers!$A$1:$A$1001,customers!$I$1:$I$1001,,0)</f>
        <v>No</v>
      </c>
    </row>
    <row r="447" spans="1:16" x14ac:dyDescent="0.3">
      <c r="A447" s="2" t="s">
        <v>2999</v>
      </c>
      <c r="B447" s="3">
        <v>43784</v>
      </c>
      <c r="C447" s="2" t="s">
        <v>3000</v>
      </c>
      <c r="D447" t="s">
        <v>6181</v>
      </c>
      <c r="E447" s="2">
        <v>2</v>
      </c>
      <c r="F447" s="2" t="str">
        <f>_xlfn.XLOOKUP(C447,customers!$A$1:$A$1001,customers!$B$1:$B$1001, ,0)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Middle</v>
      </c>
      <c r="P447" t="str">
        <f>_xlfn.XLOOKUP(Table1[[#This Row],[Customer ID]],customers!$A$1:$A$1001,customers!$I$1:$I$1001,,0)</f>
        <v>Yes</v>
      </c>
    </row>
    <row r="448" spans="1:16" x14ac:dyDescent="0.3">
      <c r="A448" s="2" t="s">
        <v>3004</v>
      </c>
      <c r="B448" s="3">
        <v>43816</v>
      </c>
      <c r="C448" s="2" t="s">
        <v>3005</v>
      </c>
      <c r="D448" t="s">
        <v>6160</v>
      </c>
      <c r="E448" s="2">
        <v>1</v>
      </c>
      <c r="F448" s="2" t="str">
        <f>_xlfn.XLOOKUP(C448,customers!$A$1:$A$1001,customers!$B$1:$B$1001, ,0)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Middle</v>
      </c>
      <c r="P448" t="str">
        <f>_xlfn.XLOOKUP(Table1[[#This Row],[Customer ID]],customers!$A$1:$A$1001,customers!$I$1:$I$1001,,0)</f>
        <v>Yes</v>
      </c>
    </row>
    <row r="449" spans="1:16" x14ac:dyDescent="0.3">
      <c r="A449" s="2" t="s">
        <v>3010</v>
      </c>
      <c r="B449" s="3">
        <v>43908</v>
      </c>
      <c r="C449" s="2" t="s">
        <v>3011</v>
      </c>
      <c r="D449" t="s">
        <v>6146</v>
      </c>
      <c r="E449" s="2">
        <v>3</v>
      </c>
      <c r="F449" s="2" t="str">
        <f>_xlfn.XLOOKUP(C449,customers!$A$1:$A$1001,customers!$B$1:$B$1001, ,0)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Middle</v>
      </c>
      <c r="P449" t="str">
        <f>_xlfn.XLOOKUP(Table1[[#This Row],[Customer ID]],customers!$A$1:$A$1001,customers!$I$1:$I$1001,,0)</f>
        <v>No</v>
      </c>
    </row>
    <row r="450" spans="1:16" x14ac:dyDescent="0.3">
      <c r="A450" s="2" t="s">
        <v>3015</v>
      </c>
      <c r="B450" s="3">
        <v>44718</v>
      </c>
      <c r="C450" s="2" t="s">
        <v>3016</v>
      </c>
      <c r="D450" t="s">
        <v>6173</v>
      </c>
      <c r="E450" s="2">
        <v>1</v>
      </c>
      <c r="F450" s="2" t="str">
        <f>_xlfn.XLOOKUP(C450,customers!$A$1:$A$1001,customers!$B$1:$B$1001, ,0)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_xlfn.XLOOKUP(C451,customers!$A$1:$A$1001,customers!$B$1:$B$1001, ,0)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IF(I451="Rob","Robusta",IF(I451="Ara","Arabica",IF(I451="Lib","Liberica",IF(I451="Exc","Excelsa",""))))</f>
        <v>Robusta</v>
      </c>
      <c r="O451" t="str">
        <f t="shared" ref="O451:O514" si="23">IF(J451="M","Middle",IF(J451="L","Light",IF(J451="D","Dark","")))</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_xlfn.XLOOKUP(C452,customers!$A$1:$A$1001,customers!$B$1:$B$1001, ,0)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_xlfn.XLOOKUP(C453,customers!$A$1:$A$1001,customers!$B$1:$B$1001, ,0)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_xlfn.XLOOKUP(C454,customers!$A$1:$A$1001,customers!$B$1:$B$1001, ,0)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_xlfn.XLOOKUP(C455,customers!$A$1:$A$1001,customers!$B$1:$B$1001, ,0)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_xlfn.XLOOKUP(C456,customers!$A$1:$A$1001,customers!$B$1:$B$1001, ,0)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_xlfn.XLOOKUP(C457,customers!$A$1:$A$1001,customers!$B$1:$B$1001, ,0)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_xlfn.XLOOKUP(C458,customers!$A$1:$A$1001,customers!$B$1:$B$1001, ,0)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3">
      <c r="A459" s="2" t="s">
        <v>3070</v>
      </c>
      <c r="B459" s="3">
        <v>43671</v>
      </c>
      <c r="C459" s="2" t="s">
        <v>3071</v>
      </c>
      <c r="D459" t="s">
        <v>6161</v>
      </c>
      <c r="E459" s="2">
        <v>5</v>
      </c>
      <c r="F459" s="2" t="str">
        <f>_xlfn.XLOOKUP(C459,customers!$A$1:$A$1001,customers!$B$1:$B$1001, ,0)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_xlfn.XLOOKUP(C460,customers!$A$1:$A$1001,customers!$B$1:$B$1001, ,0)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Middle</v>
      </c>
      <c r="P460" t="str">
        <f>_xlfn.XLOOKUP(Table1[[#This Row],[Customer ID]],customers!$A$1:$A$1001,customers!$I$1:$I$1001,,0)</f>
        <v>No</v>
      </c>
    </row>
    <row r="461" spans="1:16" x14ac:dyDescent="0.3">
      <c r="A461" s="2" t="s">
        <v>3082</v>
      </c>
      <c r="B461" s="3">
        <v>43840</v>
      </c>
      <c r="C461" s="2" t="s">
        <v>3083</v>
      </c>
      <c r="D461" t="s">
        <v>6145</v>
      </c>
      <c r="E461" s="2">
        <v>5</v>
      </c>
      <c r="F461" s="2" t="str">
        <f>_xlfn.XLOOKUP(C461,customers!$A$1:$A$1001,customers!$B$1:$B$1001, ,0)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_xlfn.XLOOKUP(C462,customers!$A$1:$A$1001,customers!$B$1:$B$1001, ,0)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_xlfn.XLOOKUP(C463,customers!$A$1:$A$1001,customers!$B$1:$B$1001, ,0)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_xlfn.XLOOKUP(C464,customers!$A$1:$A$1001,customers!$B$1:$B$1001, ,0)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_xlfn.XLOOKUP(C465,customers!$A$1:$A$1001,customers!$B$1:$B$1001, ,0)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Middle</v>
      </c>
      <c r="P465" t="str">
        <f>_xlfn.XLOOKUP(Table1[[#This Row],[Customer ID]],customers!$A$1:$A$1001,customers!$I$1:$I$1001,,0)</f>
        <v>No</v>
      </c>
    </row>
    <row r="466" spans="1:16" x14ac:dyDescent="0.3">
      <c r="A466" s="2" t="s">
        <v>3112</v>
      </c>
      <c r="B466" s="3">
        <v>43989</v>
      </c>
      <c r="C466" s="2" t="s">
        <v>3113</v>
      </c>
      <c r="D466" t="s">
        <v>6165</v>
      </c>
      <c r="E466" s="2">
        <v>4</v>
      </c>
      <c r="F466" s="2" t="str">
        <f>_xlfn.XLOOKUP(C466,customers!$A$1:$A$1001,customers!$B$1:$B$1001, ,0)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3">
      <c r="A467" s="2" t="s">
        <v>3118</v>
      </c>
      <c r="B467" s="3">
        <v>43814</v>
      </c>
      <c r="C467" s="2" t="s">
        <v>3119</v>
      </c>
      <c r="D467" t="s">
        <v>6149</v>
      </c>
      <c r="E467" s="2">
        <v>1</v>
      </c>
      <c r="F467" s="2" t="str">
        <f>_xlfn.XLOOKUP(C467,customers!$A$1:$A$1001,customers!$B$1:$B$1001, ,0)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_xlfn.XLOOKUP(C468,customers!$A$1:$A$1001,customers!$B$1:$B$1001, ,0)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_xlfn.XLOOKUP(C469,customers!$A$1:$A$1001,customers!$B$1:$B$1001, ,0)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ID]],customers!$A$1:$A$1001,customers!$I$1:$I$1001,,0)</f>
        <v>No</v>
      </c>
    </row>
    <row r="470" spans="1:16" x14ac:dyDescent="0.3">
      <c r="A470" s="2" t="s">
        <v>3136</v>
      </c>
      <c r="B470" s="3">
        <v>44023</v>
      </c>
      <c r="C470" s="2" t="s">
        <v>3137</v>
      </c>
      <c r="D470" t="s">
        <v>6141</v>
      </c>
      <c r="E470" s="2">
        <v>3</v>
      </c>
      <c r="F470" s="2" t="str">
        <f>_xlfn.XLOOKUP(C470,customers!$A$1:$A$1001,customers!$B$1:$B$1001, ,0)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Middle</v>
      </c>
      <c r="P470" t="str">
        <f>_xlfn.XLOOKUP(Table1[[#This Row],[Customer ID]],customers!$A$1:$A$1001,customers!$I$1:$I$1001,,0)</f>
        <v>Yes</v>
      </c>
    </row>
    <row r="471" spans="1:16" x14ac:dyDescent="0.3">
      <c r="A471" s="2" t="s">
        <v>3141</v>
      </c>
      <c r="B471" s="3">
        <v>44375</v>
      </c>
      <c r="C471" s="2" t="s">
        <v>3194</v>
      </c>
      <c r="D471" t="s">
        <v>6184</v>
      </c>
      <c r="E471" s="2">
        <v>5</v>
      </c>
      <c r="F471" s="2" t="str">
        <f>_xlfn.XLOOKUP(C471,customers!$A$1:$A$1001,customers!$B$1:$B$1001, ,0)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_xlfn.XLOOKUP(C472,customers!$A$1:$A$1001,customers!$B$1:$B$1001, ,0)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Middle</v>
      </c>
      <c r="P472" t="str">
        <f>_xlfn.XLOOKUP(Table1[[#This Row],[Customer ID]],customers!$A$1:$A$1001,customers!$I$1:$I$1001,,0)</f>
        <v>Yes</v>
      </c>
    </row>
    <row r="473" spans="1:16" x14ac:dyDescent="0.3">
      <c r="A473" s="2" t="s">
        <v>3153</v>
      </c>
      <c r="B473" s="3">
        <v>44644</v>
      </c>
      <c r="C473" s="2" t="s">
        <v>3154</v>
      </c>
      <c r="D473" t="s">
        <v>6181</v>
      </c>
      <c r="E473" s="2">
        <v>4</v>
      </c>
      <c r="F473" s="2" t="str">
        <f>_xlfn.XLOOKUP(C473,customers!$A$1:$A$1001,customers!$B$1:$B$1001, ,0)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Middle</v>
      </c>
      <c r="P473" t="str">
        <f>_xlfn.XLOOKUP(Table1[[#This Row],[Customer ID]],customers!$A$1:$A$1001,customers!$I$1:$I$1001,,0)</f>
        <v>Yes</v>
      </c>
    </row>
    <row r="474" spans="1:16" x14ac:dyDescent="0.3">
      <c r="A474" s="2" t="s">
        <v>3158</v>
      </c>
      <c r="B474" s="3">
        <v>43869</v>
      </c>
      <c r="C474" s="2" t="s">
        <v>3159</v>
      </c>
      <c r="D474" t="s">
        <v>6154</v>
      </c>
      <c r="E474" s="2">
        <v>2</v>
      </c>
      <c r="F474" s="2" t="str">
        <f>_xlfn.XLOOKUP(C474,customers!$A$1:$A$1001,customers!$B$1:$B$1001, ,0)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ID]],customers!$A$1:$A$1001,customers!$I$1:$I$1001,,0)</f>
        <v>No</v>
      </c>
    </row>
    <row r="475" spans="1:16" x14ac:dyDescent="0.3">
      <c r="A475" s="2" t="s">
        <v>3164</v>
      </c>
      <c r="B475" s="3">
        <v>44603</v>
      </c>
      <c r="C475" s="2" t="s">
        <v>3165</v>
      </c>
      <c r="D475" t="s">
        <v>6140</v>
      </c>
      <c r="E475" s="2">
        <v>2</v>
      </c>
      <c r="F475" s="2" t="str">
        <f>_xlfn.XLOOKUP(C475,customers!$A$1:$A$1001,customers!$B$1:$B$1001, ,0)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_xlfn.XLOOKUP(C476,customers!$A$1:$A$1001,customers!$B$1:$B$1001, ,0)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Middle</v>
      </c>
      <c r="P476" t="str">
        <f>_xlfn.XLOOKUP(Table1[[#This Row],[Customer ID]],customers!$A$1:$A$1001,customers!$I$1:$I$1001,,0)</f>
        <v>Yes</v>
      </c>
    </row>
    <row r="477" spans="1:16" x14ac:dyDescent="0.3">
      <c r="A477" s="2" t="s">
        <v>3176</v>
      </c>
      <c r="B477" s="3">
        <v>44767</v>
      </c>
      <c r="C477" s="2" t="s">
        <v>3177</v>
      </c>
      <c r="D477" t="s">
        <v>6159</v>
      </c>
      <c r="E477" s="2">
        <v>2</v>
      </c>
      <c r="F477" s="2" t="str">
        <f>_xlfn.XLOOKUP(C477,customers!$A$1:$A$1001,customers!$B$1:$B$1001, ,0)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Middle</v>
      </c>
      <c r="P477" t="str">
        <f>_xlfn.XLOOKUP(Table1[[#This Row],[Customer ID]],customers!$A$1:$A$1001,customers!$I$1:$I$1001,,0)</f>
        <v>No</v>
      </c>
    </row>
    <row r="478" spans="1:16" x14ac:dyDescent="0.3">
      <c r="A478" s="2" t="s">
        <v>3181</v>
      </c>
      <c r="B478" s="3">
        <v>44274</v>
      </c>
      <c r="C478" s="2" t="s">
        <v>3182</v>
      </c>
      <c r="D478" t="s">
        <v>6184</v>
      </c>
      <c r="E478" s="2">
        <v>6</v>
      </c>
      <c r="F478" s="2" t="str">
        <f>_xlfn.XLOOKUP(C478,customers!$A$1:$A$1001,customers!$B$1:$B$1001, ,0)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_xlfn.XLOOKUP(C479,customers!$A$1:$A$1001,customers!$B$1:$B$1001, ,0)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Middle</v>
      </c>
      <c r="P479" t="str">
        <f>_xlfn.XLOOKUP(Table1[[#This Row],[Customer ID]],customers!$A$1:$A$1001,customers!$I$1:$I$1001,,0)</f>
        <v>No</v>
      </c>
    </row>
    <row r="480" spans="1:16" x14ac:dyDescent="0.3">
      <c r="A480" s="2" t="s">
        <v>3193</v>
      </c>
      <c r="B480" s="3">
        <v>43624</v>
      </c>
      <c r="C480" s="2" t="s">
        <v>3194</v>
      </c>
      <c r="D480" t="s">
        <v>6177</v>
      </c>
      <c r="E480" s="2">
        <v>6</v>
      </c>
      <c r="F480" s="2" t="str">
        <f>_xlfn.XLOOKUP(C480,customers!$A$1:$A$1001,customers!$B$1:$B$1001, ,0)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_xlfn.XLOOKUP(C481,customers!$A$1:$A$1001,customers!$B$1:$B$1001, ,0)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Middle</v>
      </c>
      <c r="P481" t="str">
        <f>_xlfn.XLOOKUP(Table1[[#This Row],[Customer ID]],customers!$A$1:$A$1001,customers!$I$1:$I$1001,,0)</f>
        <v>Yes</v>
      </c>
    </row>
    <row r="482" spans="1:16" x14ac:dyDescent="0.3">
      <c r="A482" s="2" t="s">
        <v>3193</v>
      </c>
      <c r="B482" s="3">
        <v>43624</v>
      </c>
      <c r="C482" s="2" t="s">
        <v>3194</v>
      </c>
      <c r="D482" t="s">
        <v>6156</v>
      </c>
      <c r="E482" s="2">
        <v>1</v>
      </c>
      <c r="F482" s="2" t="str">
        <f>_xlfn.XLOOKUP(C482,customers!$A$1:$A$1001,customers!$B$1:$B$1001, ,0)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Middle</v>
      </c>
      <c r="P482" t="str">
        <f>_xlfn.XLOOKUP(Table1[[#This Row],[Customer ID]],customers!$A$1:$A$1001,customers!$I$1:$I$1001,,0)</f>
        <v>Yes</v>
      </c>
    </row>
    <row r="483" spans="1:16" x14ac:dyDescent="0.3">
      <c r="A483" s="2" t="s">
        <v>3208</v>
      </c>
      <c r="B483" s="3">
        <v>43747</v>
      </c>
      <c r="C483" s="2" t="s">
        <v>3209</v>
      </c>
      <c r="D483" t="s">
        <v>6179</v>
      </c>
      <c r="E483" s="2">
        <v>2</v>
      </c>
      <c r="F483" s="2" t="str">
        <f>_xlfn.XLOOKUP(C483,customers!$A$1:$A$1001,customers!$B$1:$B$1001, ,0)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_xlfn.XLOOKUP(C484,customers!$A$1:$A$1001,customers!$B$1:$B$1001, ,0)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_xlfn.XLOOKUP(C485,customers!$A$1:$A$1001,customers!$B$1:$B$1001, ,0)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_xlfn.XLOOKUP(C486,customers!$A$1:$A$1001,customers!$B$1:$B$1001, ,0)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_xlfn.XLOOKUP(C487,customers!$A$1:$A$1001,customers!$B$1:$B$1001, ,0)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_xlfn.XLOOKUP(C488,customers!$A$1:$A$1001,customers!$B$1:$B$1001, ,0)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Middle</v>
      </c>
      <c r="P488" t="str">
        <f>_xlfn.XLOOKUP(Table1[[#This Row],[Customer ID]],customers!$A$1:$A$1001,customers!$I$1:$I$1001,,0)</f>
        <v>Yes</v>
      </c>
    </row>
    <row r="489" spans="1:16" x14ac:dyDescent="0.3">
      <c r="A489" s="2" t="s">
        <v>3242</v>
      </c>
      <c r="B489" s="3">
        <v>44093</v>
      </c>
      <c r="C489" s="2" t="s">
        <v>3243</v>
      </c>
      <c r="D489" t="s">
        <v>6183</v>
      </c>
      <c r="E489" s="2">
        <v>6</v>
      </c>
      <c r="F489" s="2" t="str">
        <f>_xlfn.XLOOKUP(C489,customers!$A$1:$A$1001,customers!$B$1:$B$1001, ,0)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ID]],customers!$A$1:$A$1001,customers!$I$1:$I$1001,,0)</f>
        <v>No</v>
      </c>
    </row>
    <row r="490" spans="1:16" x14ac:dyDescent="0.3">
      <c r="A490" s="2" t="s">
        <v>3248</v>
      </c>
      <c r="B490" s="3">
        <v>43954</v>
      </c>
      <c r="C490" s="2" t="s">
        <v>3249</v>
      </c>
      <c r="D490" t="s">
        <v>6174</v>
      </c>
      <c r="E490" s="2">
        <v>5</v>
      </c>
      <c r="F490" s="2" t="str">
        <f>_xlfn.XLOOKUP(C490,customers!$A$1:$A$1001,customers!$B$1:$B$1001, ,0)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Middle</v>
      </c>
      <c r="P490" t="str">
        <f>_xlfn.XLOOKUP(Table1[[#This Row],[Customer ID]],customers!$A$1:$A$1001,customers!$I$1:$I$1001,,0)</f>
        <v>Yes</v>
      </c>
    </row>
    <row r="491" spans="1:16" x14ac:dyDescent="0.3">
      <c r="A491" s="2" t="s">
        <v>3254</v>
      </c>
      <c r="B491" s="3">
        <v>43654</v>
      </c>
      <c r="C491" s="2" t="s">
        <v>3255</v>
      </c>
      <c r="D491" t="s">
        <v>6170</v>
      </c>
      <c r="E491" s="2">
        <v>6</v>
      </c>
      <c r="F491" s="2" t="str">
        <f>_xlfn.XLOOKUP(C491,customers!$A$1:$A$1001,customers!$B$1:$B$1001, ,0)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_xlfn.XLOOKUP(C492,customers!$A$1:$A$1001,customers!$B$1:$B$1001, ,0)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ID]],customers!$A$1:$A$1001,customers!$I$1:$I$1001,,0)</f>
        <v>No</v>
      </c>
    </row>
    <row r="493" spans="1:16" x14ac:dyDescent="0.3">
      <c r="A493" s="2" t="s">
        <v>3266</v>
      </c>
      <c r="B493" s="3">
        <v>44101</v>
      </c>
      <c r="C493" s="2" t="s">
        <v>3267</v>
      </c>
      <c r="D493" t="s">
        <v>6150</v>
      </c>
      <c r="E493" s="2">
        <v>6</v>
      </c>
      <c r="F493" s="2" t="str">
        <f>_xlfn.XLOOKUP(C493,customers!$A$1:$A$1001,customers!$B$1:$B$1001, ,0)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3">
      <c r="A494" s="2" t="s">
        <v>3271</v>
      </c>
      <c r="B494" s="3">
        <v>44620</v>
      </c>
      <c r="C494" s="2" t="s">
        <v>3272</v>
      </c>
      <c r="D494" t="s">
        <v>6156</v>
      </c>
      <c r="E494" s="2">
        <v>1</v>
      </c>
      <c r="F494" s="2" t="str">
        <f>_xlfn.XLOOKUP(C494,customers!$A$1:$A$1001,customers!$B$1:$B$1001, ,0)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Middle</v>
      </c>
      <c r="P494" t="str">
        <f>_xlfn.XLOOKUP(Table1[[#This Row],[Customer ID]],customers!$A$1:$A$1001,customers!$I$1:$I$1001,,0)</f>
        <v>Yes</v>
      </c>
    </row>
    <row r="495" spans="1:16" x14ac:dyDescent="0.3">
      <c r="A495" s="2" t="s">
        <v>3277</v>
      </c>
      <c r="B495" s="3">
        <v>44090</v>
      </c>
      <c r="C495" s="2" t="s">
        <v>3278</v>
      </c>
      <c r="D495" t="s">
        <v>6146</v>
      </c>
      <c r="E495" s="2">
        <v>6</v>
      </c>
      <c r="F495" s="2" t="str">
        <f>_xlfn.XLOOKUP(C495,customers!$A$1:$A$1001,customers!$B$1:$B$1001, ,0)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Middle</v>
      </c>
      <c r="P495" t="str">
        <f>_xlfn.XLOOKUP(Table1[[#This Row],[Customer ID]],customers!$A$1:$A$1001,customers!$I$1:$I$1001,,0)</f>
        <v>No</v>
      </c>
    </row>
    <row r="496" spans="1:16" x14ac:dyDescent="0.3">
      <c r="A496" s="2" t="s">
        <v>3283</v>
      </c>
      <c r="B496" s="3">
        <v>44132</v>
      </c>
      <c r="C496" s="2" t="s">
        <v>3284</v>
      </c>
      <c r="D496" t="s">
        <v>6170</v>
      </c>
      <c r="E496" s="2">
        <v>2</v>
      </c>
      <c r="F496" s="2" t="str">
        <f>_xlfn.XLOOKUP(C496,customers!$A$1:$A$1001,customers!$B$1:$B$1001, ,0)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_xlfn.XLOOKUP(C497,customers!$A$1:$A$1001,customers!$B$1:$B$1001, ,0)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_xlfn.XLOOKUP(C498,customers!$A$1:$A$1001,customers!$B$1:$B$1001, ,0)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ID]],customers!$A$1:$A$1001,customers!$I$1:$I$1001,,0)</f>
        <v>No</v>
      </c>
    </row>
    <row r="499" spans="1:16" x14ac:dyDescent="0.3">
      <c r="A499" s="2" t="s">
        <v>3300</v>
      </c>
      <c r="B499" s="3">
        <v>44351</v>
      </c>
      <c r="C499" s="2" t="s">
        <v>3301</v>
      </c>
      <c r="D499" t="s">
        <v>6147</v>
      </c>
      <c r="E499" s="2">
        <v>4</v>
      </c>
      <c r="F499" s="2" t="str">
        <f>_xlfn.XLOOKUP(C499,customers!$A$1:$A$1001,customers!$B$1:$B$1001, ,0)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3">
      <c r="A500" s="2" t="s">
        <v>3307</v>
      </c>
      <c r="B500" s="3">
        <v>44159</v>
      </c>
      <c r="C500" s="2" t="s">
        <v>3368</v>
      </c>
      <c r="D500" t="s">
        <v>6138</v>
      </c>
      <c r="E500" s="2">
        <v>5</v>
      </c>
      <c r="F500" s="2" t="str">
        <f>_xlfn.XLOOKUP(C500,customers!$A$1:$A$1001,customers!$B$1:$B$1001, ,0)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Middle</v>
      </c>
      <c r="P500" t="str">
        <f>_xlfn.XLOOKUP(Table1[[#This Row],[Customer ID]],customers!$A$1:$A$1001,customers!$I$1:$I$1001,,0)</f>
        <v>Yes</v>
      </c>
    </row>
    <row r="501" spans="1:16" x14ac:dyDescent="0.3">
      <c r="A501" s="2" t="s">
        <v>3313</v>
      </c>
      <c r="B501" s="3">
        <v>44003</v>
      </c>
      <c r="C501" s="2" t="s">
        <v>3314</v>
      </c>
      <c r="D501" t="s">
        <v>6163</v>
      </c>
      <c r="E501" s="2">
        <v>3</v>
      </c>
      <c r="F501" s="2" t="str">
        <f>_xlfn.XLOOKUP(C501,customers!$A$1:$A$1001,customers!$B$1:$B$1001, ,0)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_xlfn.XLOOKUP(C502,customers!$A$1:$A$1001,customers!$B$1:$B$1001, ,0)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_xlfn.XLOOKUP(C503,customers!$A$1:$A$1001,customers!$B$1:$B$1001, ,0)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Middle</v>
      </c>
      <c r="P503" t="str">
        <f>_xlfn.XLOOKUP(Table1[[#This Row],[Customer ID]],customers!$A$1:$A$1001,customers!$I$1:$I$1001,,0)</f>
        <v>No</v>
      </c>
    </row>
    <row r="504" spans="1:16" x14ac:dyDescent="0.3">
      <c r="A504" s="2" t="s">
        <v>3323</v>
      </c>
      <c r="B504" s="3">
        <v>43467</v>
      </c>
      <c r="C504" s="2" t="s">
        <v>3324</v>
      </c>
      <c r="D504" t="s">
        <v>6156</v>
      </c>
      <c r="E504" s="2">
        <v>4</v>
      </c>
      <c r="F504" s="2" t="str">
        <f>_xlfn.XLOOKUP(C504,customers!$A$1:$A$1001,customers!$B$1:$B$1001, ,0)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Middle</v>
      </c>
      <c r="P504" t="str">
        <f>_xlfn.XLOOKUP(Table1[[#This Row],[Customer ID]],customers!$A$1:$A$1001,customers!$I$1:$I$1001,,0)</f>
        <v>No</v>
      </c>
    </row>
    <row r="505" spans="1:16" x14ac:dyDescent="0.3">
      <c r="A505" s="2" t="s">
        <v>3323</v>
      </c>
      <c r="B505" s="3">
        <v>43467</v>
      </c>
      <c r="C505" s="2" t="s">
        <v>3324</v>
      </c>
      <c r="D505" t="s">
        <v>6143</v>
      </c>
      <c r="E505" s="2">
        <v>4</v>
      </c>
      <c r="F505" s="2" t="str">
        <f>_xlfn.XLOOKUP(C505,customers!$A$1:$A$1001,customers!$B$1:$B$1001, ,0)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ID]],customers!$A$1:$A$1001,customers!$I$1:$I$1001,,0)</f>
        <v>No</v>
      </c>
    </row>
    <row r="506" spans="1:16" x14ac:dyDescent="0.3">
      <c r="A506" s="2" t="s">
        <v>3323</v>
      </c>
      <c r="B506" s="3">
        <v>43467</v>
      </c>
      <c r="C506" s="2" t="s">
        <v>3324</v>
      </c>
      <c r="D506" t="s">
        <v>6145</v>
      </c>
      <c r="E506" s="2">
        <v>3</v>
      </c>
      <c r="F506" s="2" t="str">
        <f>_xlfn.XLOOKUP(C506,customers!$A$1:$A$1001,customers!$B$1:$B$1001, ,0)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_xlfn.XLOOKUP(C507,customers!$A$1:$A$1001,customers!$B$1:$B$1001, ,0)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Middle</v>
      </c>
      <c r="P507" t="str">
        <f>_xlfn.XLOOKUP(Table1[[#This Row],[Customer ID]],customers!$A$1:$A$1001,customers!$I$1:$I$1001,,0)</f>
        <v>No</v>
      </c>
    </row>
    <row r="508" spans="1:16" x14ac:dyDescent="0.3">
      <c r="A508" s="2" t="s">
        <v>3349</v>
      </c>
      <c r="B508" s="3">
        <v>44184</v>
      </c>
      <c r="C508" s="2" t="s">
        <v>3350</v>
      </c>
      <c r="D508" t="s">
        <v>6140</v>
      </c>
      <c r="E508" s="2">
        <v>2</v>
      </c>
      <c r="F508" s="2" t="str">
        <f>_xlfn.XLOOKUP(C508,customers!$A$1:$A$1001,customers!$B$1:$B$1001, ,0)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_xlfn.XLOOKUP(C509,customers!$A$1:$A$1001,customers!$B$1:$B$1001, ,0)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_xlfn.XLOOKUP(C510,customers!$A$1:$A$1001,customers!$B$1:$B$1001, ,0)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ID]],customers!$A$1:$A$1001,customers!$I$1:$I$1001,,0)</f>
        <v>No</v>
      </c>
    </row>
    <row r="511" spans="1:16" x14ac:dyDescent="0.3">
      <c r="A511" s="2" t="s">
        <v>3367</v>
      </c>
      <c r="B511" s="3">
        <v>43785</v>
      </c>
      <c r="C511" s="2" t="s">
        <v>3368</v>
      </c>
      <c r="D511" t="s">
        <v>6147</v>
      </c>
      <c r="E511" s="2">
        <v>3</v>
      </c>
      <c r="F511" s="2" t="str">
        <f>_xlfn.XLOOKUP(C511,customers!$A$1:$A$1001,customers!$B$1:$B$1001, ,0)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_xlfn.XLOOKUP(C512,customers!$A$1:$A$1001,customers!$B$1:$B$1001, ,0)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_xlfn.XLOOKUP(C513,customers!$A$1:$A$1001,customers!$B$1:$B$1001, ,0)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Middle</v>
      </c>
      <c r="P513" t="str">
        <f>_xlfn.XLOOKUP(Table1[[#This Row],[Customer ID]],customers!$A$1:$A$1001,customers!$I$1:$I$1001,,0)</f>
        <v>Yes</v>
      </c>
    </row>
    <row r="514" spans="1:16" x14ac:dyDescent="0.3">
      <c r="A514" s="2" t="s">
        <v>3385</v>
      </c>
      <c r="B514" s="3">
        <v>43535</v>
      </c>
      <c r="C514" s="2" t="s">
        <v>3386</v>
      </c>
      <c r="D514" t="s">
        <v>6170</v>
      </c>
      <c r="E514" s="2">
        <v>3</v>
      </c>
      <c r="F514" s="2" t="str">
        <f>_xlfn.XLOOKUP(C514,customers!$A$1:$A$1001,customers!$B$1:$B$1001, ,0)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_xlfn.XLOOKUP(C515,customers!$A$1:$A$1001,customers!$B$1:$B$1001, ,0)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IF(I515="Rob","Robusta",IF(I515="Ara","Arabica",IF(I515="Lib","Liberica",IF(I515="Exc","Excelsa",""))))</f>
        <v>Liberica</v>
      </c>
      <c r="O515" t="str">
        <f t="shared" ref="O515:O578" si="26">IF(J515="M","Middle",IF(J515="L","Light",IF(J515="D","Dark","")))</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_xlfn.XLOOKUP(C516,customers!$A$1:$A$1001,customers!$B$1:$B$1001, ,0)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Middle</v>
      </c>
      <c r="P516" t="str">
        <f>_xlfn.XLOOKUP(Table1[[#This Row],[Customer ID]],customers!$A$1:$A$1001,customers!$I$1:$I$1001,,0)</f>
        <v>Yes</v>
      </c>
    </row>
    <row r="517" spans="1:16" x14ac:dyDescent="0.3">
      <c r="A517" s="2" t="s">
        <v>3402</v>
      </c>
      <c r="B517" s="3">
        <v>44673</v>
      </c>
      <c r="C517" s="2" t="s">
        <v>3403</v>
      </c>
      <c r="D517" t="s">
        <v>6173</v>
      </c>
      <c r="E517" s="2">
        <v>3</v>
      </c>
      <c r="F517" s="2" t="str">
        <f>_xlfn.XLOOKUP(C517,customers!$A$1:$A$1001,customers!$B$1:$B$1001, ,0)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_xlfn.XLOOKUP(C518,customers!$A$1:$A$1001,customers!$B$1:$B$1001, ,0)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_xlfn.XLOOKUP(C519,customers!$A$1:$A$1001,customers!$B$1:$B$1001, ,0)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ID]],customers!$A$1:$A$1001,customers!$I$1:$I$1001,,0)</f>
        <v>No</v>
      </c>
    </row>
    <row r="520" spans="1:16" x14ac:dyDescent="0.3">
      <c r="A520" s="2" t="s">
        <v>3418</v>
      </c>
      <c r="B520" s="3">
        <v>44194</v>
      </c>
      <c r="C520" s="2" t="s">
        <v>3419</v>
      </c>
      <c r="D520" t="s">
        <v>6185</v>
      </c>
      <c r="E520" s="2">
        <v>5</v>
      </c>
      <c r="F520" s="2" t="str">
        <f>_xlfn.XLOOKUP(C520,customers!$A$1:$A$1001,customers!$B$1:$B$1001, ,0)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3">
      <c r="A521" s="2" t="s">
        <v>3424</v>
      </c>
      <c r="B521" s="3">
        <v>44026</v>
      </c>
      <c r="C521" s="2" t="s">
        <v>3368</v>
      </c>
      <c r="D521" t="s">
        <v>6158</v>
      </c>
      <c r="E521" s="2">
        <v>2</v>
      </c>
      <c r="F521" s="2" t="str">
        <f>_xlfn.XLOOKUP(C521,customers!$A$1:$A$1001,customers!$B$1:$B$1001, ,0)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_xlfn.XLOOKUP(C522,customers!$A$1:$A$1001,customers!$B$1:$B$1001, ,0)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3">
      <c r="A523" s="2" t="s">
        <v>3430</v>
      </c>
      <c r="B523" s="3">
        <v>44446</v>
      </c>
      <c r="C523" s="2" t="s">
        <v>3431</v>
      </c>
      <c r="D523" t="s">
        <v>6138</v>
      </c>
      <c r="E523" s="2">
        <v>4</v>
      </c>
      <c r="F523" s="2" t="str">
        <f>_xlfn.XLOOKUP(C523,customers!$A$1:$A$1001,customers!$B$1:$B$1001, ,0)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Middle</v>
      </c>
      <c r="P523" t="str">
        <f>_xlfn.XLOOKUP(Table1[[#This Row],[Customer ID]],customers!$A$1:$A$1001,customers!$I$1:$I$1001,,0)</f>
        <v>No</v>
      </c>
    </row>
    <row r="524" spans="1:16" x14ac:dyDescent="0.3">
      <c r="A524" s="2" t="s">
        <v>3441</v>
      </c>
      <c r="B524" s="3">
        <v>43625</v>
      </c>
      <c r="C524" s="2" t="s">
        <v>3442</v>
      </c>
      <c r="D524" t="s">
        <v>6146</v>
      </c>
      <c r="E524" s="2">
        <v>5</v>
      </c>
      <c r="F524" s="2" t="str">
        <f>_xlfn.XLOOKUP(C524,customers!$A$1:$A$1001,customers!$B$1:$B$1001, ,0)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Middle</v>
      </c>
      <c r="P524" t="str">
        <f>_xlfn.XLOOKUP(Table1[[#This Row],[Customer ID]],customers!$A$1:$A$1001,customers!$I$1:$I$1001,,0)</f>
        <v>No</v>
      </c>
    </row>
    <row r="525" spans="1:16" x14ac:dyDescent="0.3">
      <c r="A525" s="2" t="s">
        <v>3447</v>
      </c>
      <c r="B525" s="3">
        <v>44129</v>
      </c>
      <c r="C525" s="2" t="s">
        <v>3448</v>
      </c>
      <c r="D525" t="s">
        <v>6165</v>
      </c>
      <c r="E525" s="2">
        <v>1</v>
      </c>
      <c r="F525" s="2" t="str">
        <f>_xlfn.XLOOKUP(C525,customers!$A$1:$A$1001,customers!$B$1:$B$1001, ,0)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3">
      <c r="A526" s="2" t="s">
        <v>3453</v>
      </c>
      <c r="B526" s="3">
        <v>44255</v>
      </c>
      <c r="C526" s="2" t="s">
        <v>3454</v>
      </c>
      <c r="D526" t="s">
        <v>6164</v>
      </c>
      <c r="E526" s="2">
        <v>2</v>
      </c>
      <c r="F526" s="2" t="str">
        <f>_xlfn.XLOOKUP(C526,customers!$A$1:$A$1001,customers!$B$1:$B$1001, ,0)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_xlfn.XLOOKUP(C527,customers!$A$1:$A$1001,customers!$B$1:$B$1001, ,0)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_xlfn.XLOOKUP(C528,customers!$A$1:$A$1001,customers!$B$1:$B$1001, ,0)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Middle</v>
      </c>
      <c r="P528" t="str">
        <f>_xlfn.XLOOKUP(Table1[[#This Row],[Customer ID]],customers!$A$1:$A$1001,customers!$I$1:$I$1001,,0)</f>
        <v>Yes</v>
      </c>
    </row>
    <row r="529" spans="1:16" x14ac:dyDescent="0.3">
      <c r="A529" s="2" t="s">
        <v>3469</v>
      </c>
      <c r="B529" s="3">
        <v>43517</v>
      </c>
      <c r="C529" s="2" t="s">
        <v>3470</v>
      </c>
      <c r="D529" t="s">
        <v>6139</v>
      </c>
      <c r="E529" s="2">
        <v>5</v>
      </c>
      <c r="F529" s="2" t="str">
        <f>_xlfn.XLOOKUP(C529,customers!$A$1:$A$1001,customers!$B$1:$B$1001, ,0)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Middle</v>
      </c>
      <c r="P529" t="str">
        <f>_xlfn.XLOOKUP(Table1[[#This Row],[Customer ID]],customers!$A$1:$A$1001,customers!$I$1:$I$1001,,0)</f>
        <v>No</v>
      </c>
    </row>
    <row r="530" spans="1:16" x14ac:dyDescent="0.3">
      <c r="A530" s="2" t="s">
        <v>3475</v>
      </c>
      <c r="B530" s="3">
        <v>43926</v>
      </c>
      <c r="C530" s="2" t="s">
        <v>3476</v>
      </c>
      <c r="D530" t="s">
        <v>6176</v>
      </c>
      <c r="E530" s="2">
        <v>6</v>
      </c>
      <c r="F530" s="2" t="str">
        <f>_xlfn.XLOOKUP(C530,customers!$A$1:$A$1001,customers!$B$1:$B$1001, ,0)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_xlfn.XLOOKUP(C531,customers!$A$1:$A$1001,customers!$B$1:$B$1001, ,0)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Middle</v>
      </c>
      <c r="P531" t="str">
        <f>_xlfn.XLOOKUP(Table1[[#This Row],[Customer ID]],customers!$A$1:$A$1001,customers!$I$1:$I$1001,,0)</f>
        <v>No</v>
      </c>
    </row>
    <row r="532" spans="1:16" x14ac:dyDescent="0.3">
      <c r="A532" s="2" t="s">
        <v>3487</v>
      </c>
      <c r="B532" s="3">
        <v>44663</v>
      </c>
      <c r="C532" s="2" t="s">
        <v>3488</v>
      </c>
      <c r="D532" t="s">
        <v>6138</v>
      </c>
      <c r="E532" s="2">
        <v>6</v>
      </c>
      <c r="F532" s="2" t="str">
        <f>_xlfn.XLOOKUP(C532,customers!$A$1:$A$1001,customers!$B$1:$B$1001, ,0)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Middle</v>
      </c>
      <c r="P532" t="str">
        <f>_xlfn.XLOOKUP(Table1[[#This Row],[Customer ID]],customers!$A$1:$A$1001,customers!$I$1:$I$1001,,0)</f>
        <v>No</v>
      </c>
    </row>
    <row r="533" spans="1:16" x14ac:dyDescent="0.3">
      <c r="A533" s="2" t="s">
        <v>3493</v>
      </c>
      <c r="B533" s="3">
        <v>44591</v>
      </c>
      <c r="C533" s="2" t="s">
        <v>3494</v>
      </c>
      <c r="D533" t="s">
        <v>6177</v>
      </c>
      <c r="E533" s="2">
        <v>5</v>
      </c>
      <c r="F533" s="2" t="str">
        <f>_xlfn.XLOOKUP(C533,customers!$A$1:$A$1001,customers!$B$1:$B$1001, ,0)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ID]],customers!$A$1:$A$1001,customers!$I$1:$I$1001,,0)</f>
        <v>No</v>
      </c>
    </row>
    <row r="534" spans="1:16" x14ac:dyDescent="0.3">
      <c r="A534" s="2" t="s">
        <v>3499</v>
      </c>
      <c r="B534" s="3">
        <v>44330</v>
      </c>
      <c r="C534" s="2" t="s">
        <v>3500</v>
      </c>
      <c r="D534" t="s">
        <v>6139</v>
      </c>
      <c r="E534" s="2">
        <v>2</v>
      </c>
      <c r="F534" s="2" t="str">
        <f>_xlfn.XLOOKUP(C534,customers!$A$1:$A$1001,customers!$B$1:$B$1001, ,0)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Middle</v>
      </c>
      <c r="P534" t="str">
        <f>_xlfn.XLOOKUP(Table1[[#This Row],[Customer ID]],customers!$A$1:$A$1001,customers!$I$1:$I$1001,,0)</f>
        <v>Yes</v>
      </c>
    </row>
    <row r="535" spans="1:16" x14ac:dyDescent="0.3">
      <c r="A535" s="2" t="s">
        <v>3505</v>
      </c>
      <c r="B535" s="3">
        <v>44724</v>
      </c>
      <c r="C535" s="2" t="s">
        <v>3506</v>
      </c>
      <c r="D535" t="s">
        <v>6172</v>
      </c>
      <c r="E535" s="2">
        <v>4</v>
      </c>
      <c r="F535" s="2" t="str">
        <f>_xlfn.XLOOKUP(C535,customers!$A$1:$A$1001,customers!$B$1:$B$1001, ,0)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3">
      <c r="A536" s="2" t="s">
        <v>3510</v>
      </c>
      <c r="B536" s="3">
        <v>44563</v>
      </c>
      <c r="C536" s="2" t="s">
        <v>3511</v>
      </c>
      <c r="D536" t="s">
        <v>6151</v>
      </c>
      <c r="E536" s="2">
        <v>2</v>
      </c>
      <c r="F536" s="2" t="str">
        <f>_xlfn.XLOOKUP(C536,customers!$A$1:$A$1001,customers!$B$1:$B$1001, ,0)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Middle</v>
      </c>
      <c r="P536" t="str">
        <f>_xlfn.XLOOKUP(Table1[[#This Row],[Customer ID]],customers!$A$1:$A$1001,customers!$I$1:$I$1001,,0)</f>
        <v>Yes</v>
      </c>
    </row>
    <row r="537" spans="1:16" x14ac:dyDescent="0.3">
      <c r="A537" s="2" t="s">
        <v>3516</v>
      </c>
      <c r="B537" s="3">
        <v>44585</v>
      </c>
      <c r="C537" s="2" t="s">
        <v>3517</v>
      </c>
      <c r="D537" t="s">
        <v>6145</v>
      </c>
      <c r="E537" s="2">
        <v>2</v>
      </c>
      <c r="F537" s="2" t="str">
        <f>_xlfn.XLOOKUP(C537,customers!$A$1:$A$1001,customers!$B$1:$B$1001, ,0)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_xlfn.XLOOKUP(C538,customers!$A$1:$A$1001,customers!$B$1:$B$1001, ,0)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_xlfn.XLOOKUP(C539,customers!$A$1:$A$1001,customers!$B$1:$B$1001, ,0)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_xlfn.XLOOKUP(C540,customers!$A$1:$A$1001,customers!$B$1:$B$1001, ,0)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_xlfn.XLOOKUP(C541,customers!$A$1:$A$1001,customers!$B$1:$B$1001, ,0)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3">
      <c r="A542" s="2" t="s">
        <v>3542</v>
      </c>
      <c r="B542" s="3">
        <v>43584</v>
      </c>
      <c r="C542" s="2" t="s">
        <v>3543</v>
      </c>
      <c r="D542" t="s">
        <v>6170</v>
      </c>
      <c r="E542" s="2">
        <v>4</v>
      </c>
      <c r="F542" s="2" t="str">
        <f>_xlfn.XLOOKUP(C542,customers!$A$1:$A$1001,customers!$B$1:$B$1001, ,0)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_xlfn.XLOOKUP(C543,customers!$A$1:$A$1001,customers!$B$1:$B$1001, ,0)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_xlfn.XLOOKUP(C544,customers!$A$1:$A$1001,customers!$B$1:$B$1001, ,0)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Middle</v>
      </c>
      <c r="P544" t="str">
        <f>_xlfn.XLOOKUP(Table1[[#This Row],[Customer ID]],customers!$A$1:$A$1001,customers!$I$1:$I$1001,,0)</f>
        <v>No</v>
      </c>
    </row>
    <row r="545" spans="1:16" x14ac:dyDescent="0.3">
      <c r="A545" s="2" t="s">
        <v>3559</v>
      </c>
      <c r="B545" s="3">
        <v>44380</v>
      </c>
      <c r="C545" s="2" t="s">
        <v>3560</v>
      </c>
      <c r="D545" t="s">
        <v>6142</v>
      </c>
      <c r="E545" s="2">
        <v>2</v>
      </c>
      <c r="F545" s="2" t="str">
        <f>_xlfn.XLOOKUP(C545,customers!$A$1:$A$1001,customers!$B$1:$B$1001, ,0)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_xlfn.XLOOKUP(C546,customers!$A$1:$A$1001,customers!$B$1:$B$1001, ,0)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_xlfn.XLOOKUP(C547,customers!$A$1:$A$1001,customers!$B$1:$B$1001, ,0)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3">
      <c r="A548" s="2" t="s">
        <v>3577</v>
      </c>
      <c r="B548" s="3">
        <v>44127</v>
      </c>
      <c r="C548" s="2" t="s">
        <v>3578</v>
      </c>
      <c r="D548" t="s">
        <v>6185</v>
      </c>
      <c r="E548" s="2">
        <v>3</v>
      </c>
      <c r="F548" s="2" t="str">
        <f>_xlfn.XLOOKUP(C548,customers!$A$1:$A$1001,customers!$B$1:$B$1001, ,0)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3">
      <c r="A549" s="2" t="s">
        <v>3582</v>
      </c>
      <c r="B549" s="3">
        <v>44265</v>
      </c>
      <c r="C549" s="2" t="s">
        <v>3594</v>
      </c>
      <c r="D549" t="s">
        <v>6178</v>
      </c>
      <c r="E549" s="2">
        <v>3</v>
      </c>
      <c r="F549" s="2" t="str">
        <f>_xlfn.XLOOKUP(C549,customers!$A$1:$A$1001,customers!$B$1:$B$1001, ,0)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_xlfn.XLOOKUP(C550,customers!$A$1:$A$1001,customers!$B$1:$B$1001, ,0)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_xlfn.XLOOKUP(C551,customers!$A$1:$A$1001,customers!$B$1:$B$1001, ,0)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_xlfn.XLOOKUP(C552,customers!$A$1:$A$1001,customers!$B$1:$B$1001, ,0)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_xlfn.XLOOKUP(C553,customers!$A$1:$A$1001,customers!$B$1:$B$1001, ,0)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ID]],customers!$A$1:$A$1001,customers!$I$1:$I$1001,,0)</f>
        <v>No</v>
      </c>
    </row>
    <row r="554" spans="1:16" x14ac:dyDescent="0.3">
      <c r="A554" s="2" t="s">
        <v>3611</v>
      </c>
      <c r="B554" s="3">
        <v>43761</v>
      </c>
      <c r="C554" s="2" t="s">
        <v>3612</v>
      </c>
      <c r="D554" t="s">
        <v>6184</v>
      </c>
      <c r="E554" s="2">
        <v>4</v>
      </c>
      <c r="F554" s="2" t="str">
        <f>_xlfn.XLOOKUP(C554,customers!$A$1:$A$1001,customers!$B$1:$B$1001, ,0)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_xlfn.XLOOKUP(C555,customers!$A$1:$A$1001,customers!$B$1:$B$1001, ,0)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Middle</v>
      </c>
      <c r="P555" t="str">
        <f>_xlfn.XLOOKUP(Table1[[#This Row],[Customer ID]],customers!$A$1:$A$1001,customers!$I$1:$I$1001,,0)</f>
        <v>No</v>
      </c>
    </row>
    <row r="556" spans="1:16" x14ac:dyDescent="0.3">
      <c r="A556" s="2" t="s">
        <v>3622</v>
      </c>
      <c r="B556" s="3">
        <v>43737</v>
      </c>
      <c r="C556" s="2" t="s">
        <v>3623</v>
      </c>
      <c r="D556" t="s">
        <v>6142</v>
      </c>
      <c r="E556" s="2">
        <v>2</v>
      </c>
      <c r="F556" s="2" t="str">
        <f>_xlfn.XLOOKUP(C556,customers!$A$1:$A$1001,customers!$B$1:$B$1001, ,0)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_xlfn.XLOOKUP(C557,customers!$A$1:$A$1001,customers!$B$1:$B$1001, ,0)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Middle</v>
      </c>
      <c r="P557" t="str">
        <f>_xlfn.XLOOKUP(Table1[[#This Row],[Customer ID]],customers!$A$1:$A$1001,customers!$I$1:$I$1001,,0)</f>
        <v>No</v>
      </c>
    </row>
    <row r="558" spans="1:16" x14ac:dyDescent="0.3">
      <c r="A558" s="2" t="s">
        <v>3633</v>
      </c>
      <c r="B558" s="3">
        <v>44523</v>
      </c>
      <c r="C558" s="2" t="s">
        <v>3634</v>
      </c>
      <c r="D558" t="s">
        <v>6159</v>
      </c>
      <c r="E558" s="2">
        <v>2</v>
      </c>
      <c r="F558" s="2" t="str">
        <f>_xlfn.XLOOKUP(C558,customers!$A$1:$A$1001,customers!$B$1:$B$1001, ,0)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Middle</v>
      </c>
      <c r="P558" t="str">
        <f>_xlfn.XLOOKUP(Table1[[#This Row],[Customer ID]],customers!$A$1:$A$1001,customers!$I$1:$I$1001,,0)</f>
        <v>Yes</v>
      </c>
    </row>
    <row r="559" spans="1:16" x14ac:dyDescent="0.3">
      <c r="A559" s="2" t="s">
        <v>3638</v>
      </c>
      <c r="B559" s="3">
        <v>44506</v>
      </c>
      <c r="C559" s="2" t="s">
        <v>3368</v>
      </c>
      <c r="D559" t="s">
        <v>6171</v>
      </c>
      <c r="E559" s="2">
        <v>4</v>
      </c>
      <c r="F559" s="2" t="str">
        <f>_xlfn.XLOOKUP(C559,customers!$A$1:$A$1001,customers!$B$1:$B$1001, ,0)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_xlfn.XLOOKUP(C560,customers!$A$1:$A$1001,customers!$B$1:$B$1001, ,0)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_xlfn.XLOOKUP(C561,customers!$A$1:$A$1001,customers!$B$1:$B$1001, ,0)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_xlfn.XLOOKUP(C562,customers!$A$1:$A$1001,customers!$B$1:$B$1001, ,0)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Middle</v>
      </c>
      <c r="P562" t="str">
        <f>_xlfn.XLOOKUP(Table1[[#This Row],[Customer ID]],customers!$A$1:$A$1001,customers!$I$1:$I$1001,,0)</f>
        <v>Yes</v>
      </c>
    </row>
    <row r="563" spans="1:16" x14ac:dyDescent="0.3">
      <c r="A563" s="2" t="s">
        <v>3659</v>
      </c>
      <c r="B563" s="3">
        <v>43688</v>
      </c>
      <c r="C563" s="2" t="s">
        <v>3660</v>
      </c>
      <c r="D563" t="s">
        <v>6154</v>
      </c>
      <c r="E563" s="2">
        <v>6</v>
      </c>
      <c r="F563" s="2" t="str">
        <f>_xlfn.XLOOKUP(C563,customers!$A$1:$A$1001,customers!$B$1:$B$1001, ,0)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_xlfn.XLOOKUP(C564,customers!$A$1:$A$1001,customers!$B$1:$B$1001, ,0)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_xlfn.XLOOKUP(C565,customers!$A$1:$A$1001,customers!$B$1:$B$1001, ,0)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Middle</v>
      </c>
      <c r="P565" t="str">
        <f>_xlfn.XLOOKUP(Table1[[#This Row],[Customer ID]],customers!$A$1:$A$1001,customers!$I$1:$I$1001,,0)</f>
        <v>No</v>
      </c>
    </row>
    <row r="566" spans="1:16" x14ac:dyDescent="0.3">
      <c r="A566" s="2" t="s">
        <v>3677</v>
      </c>
      <c r="B566" s="3">
        <v>43883</v>
      </c>
      <c r="C566" s="2" t="s">
        <v>3678</v>
      </c>
      <c r="D566" t="s">
        <v>6173</v>
      </c>
      <c r="E566" s="2">
        <v>2</v>
      </c>
      <c r="F566" s="2" t="str">
        <f>_xlfn.XLOOKUP(C566,customers!$A$1:$A$1001,customers!$B$1:$B$1001, ,0)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_xlfn.XLOOKUP(C567,customers!$A$1:$A$1001,customers!$B$1:$B$1001, ,0)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3">
      <c r="A568" s="2" t="s">
        <v>3689</v>
      </c>
      <c r="B568" s="3">
        <v>44459</v>
      </c>
      <c r="C568" s="2" t="s">
        <v>3690</v>
      </c>
      <c r="D568" t="s">
        <v>6152</v>
      </c>
      <c r="E568" s="2">
        <v>6</v>
      </c>
      <c r="F568" s="2" t="str">
        <f>_xlfn.XLOOKUP(C568,customers!$A$1:$A$1001,customers!$B$1:$B$1001, ,0)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Middle</v>
      </c>
      <c r="P568" t="str">
        <f>_xlfn.XLOOKUP(Table1[[#This Row],[Customer ID]],customers!$A$1:$A$1001,customers!$I$1:$I$1001,,0)</f>
        <v>Yes</v>
      </c>
    </row>
    <row r="569" spans="1:16" x14ac:dyDescent="0.3">
      <c r="A569" s="2" t="s">
        <v>3695</v>
      </c>
      <c r="B569" s="3">
        <v>44318</v>
      </c>
      <c r="C569" s="2" t="s">
        <v>3696</v>
      </c>
      <c r="D569" t="s">
        <v>6142</v>
      </c>
      <c r="E569" s="2">
        <v>6</v>
      </c>
      <c r="F569" s="2" t="str">
        <f>_xlfn.XLOOKUP(C569,customers!$A$1:$A$1001,customers!$B$1:$B$1001, ,0)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_xlfn.XLOOKUP(C570,customers!$A$1:$A$1001,customers!$B$1:$B$1001, ,0)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_xlfn.XLOOKUP(C571,customers!$A$1:$A$1001,customers!$B$1:$B$1001, ,0)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3">
      <c r="A572" s="2" t="s">
        <v>3712</v>
      </c>
      <c r="B572" s="3">
        <v>43928</v>
      </c>
      <c r="C572" s="2" t="s">
        <v>3713</v>
      </c>
      <c r="D572" t="s">
        <v>6157</v>
      </c>
      <c r="E572" s="2">
        <v>4</v>
      </c>
      <c r="F572" s="2" t="str">
        <f>_xlfn.XLOOKUP(C572,customers!$A$1:$A$1001,customers!$B$1:$B$1001, ,0)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Middle</v>
      </c>
      <c r="P572" t="str">
        <f>_xlfn.XLOOKUP(Table1[[#This Row],[Customer ID]],customers!$A$1:$A$1001,customers!$I$1:$I$1001,,0)</f>
        <v>No</v>
      </c>
    </row>
    <row r="573" spans="1:16" x14ac:dyDescent="0.3">
      <c r="A573" s="2" t="s">
        <v>3718</v>
      </c>
      <c r="B573" s="3">
        <v>44592</v>
      </c>
      <c r="C573" s="2" t="s">
        <v>3719</v>
      </c>
      <c r="D573" t="s">
        <v>6176</v>
      </c>
      <c r="E573" s="2">
        <v>4</v>
      </c>
      <c r="F573" s="2" t="str">
        <f>_xlfn.XLOOKUP(C573,customers!$A$1:$A$1001,customers!$B$1:$B$1001, ,0)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_xlfn.XLOOKUP(C574,customers!$A$1:$A$1001,customers!$B$1:$B$1001, ,0)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_xlfn.XLOOKUP(C575,customers!$A$1:$A$1001,customers!$B$1:$B$1001, ,0)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Middle</v>
      </c>
      <c r="P575" t="str">
        <f>_xlfn.XLOOKUP(Table1[[#This Row],[Customer ID]],customers!$A$1:$A$1001,customers!$I$1:$I$1001,,0)</f>
        <v>No</v>
      </c>
    </row>
    <row r="576" spans="1:16" x14ac:dyDescent="0.3">
      <c r="A576" s="2" t="s">
        <v>3734</v>
      </c>
      <c r="B576" s="3">
        <v>44697</v>
      </c>
      <c r="C576" s="2" t="s">
        <v>3735</v>
      </c>
      <c r="D576" t="s">
        <v>6178</v>
      </c>
      <c r="E576" s="2">
        <v>6</v>
      </c>
      <c r="F576" s="2" t="str">
        <f>_xlfn.XLOOKUP(C576,customers!$A$1:$A$1001,customers!$B$1:$B$1001, ,0)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_xlfn.XLOOKUP(C577,customers!$A$1:$A$1001,customers!$B$1:$B$1001, ,0)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Middle</v>
      </c>
      <c r="P577" t="str">
        <f>_xlfn.XLOOKUP(Table1[[#This Row],[Customer ID]],customers!$A$1:$A$1001,customers!$I$1:$I$1001,,0)</f>
        <v>No</v>
      </c>
    </row>
    <row r="578" spans="1:16" x14ac:dyDescent="0.3">
      <c r="A578" s="2" t="s">
        <v>3745</v>
      </c>
      <c r="B578" s="3">
        <v>44290</v>
      </c>
      <c r="C578" s="2" t="s">
        <v>3746</v>
      </c>
      <c r="D578" t="s">
        <v>6154</v>
      </c>
      <c r="E578" s="2">
        <v>6</v>
      </c>
      <c r="F578" s="2" t="str">
        <f>_xlfn.XLOOKUP(C578,customers!$A$1:$A$1001,customers!$B$1:$B$1001, ,0)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ID]],customers!$A$1:$A$1001,customers!$I$1:$I$1001,,0)</f>
        <v>No</v>
      </c>
    </row>
    <row r="579" spans="1:16" x14ac:dyDescent="0.3">
      <c r="A579" s="2" t="s">
        <v>3751</v>
      </c>
      <c r="B579" s="3">
        <v>44410</v>
      </c>
      <c r="C579" s="2" t="s">
        <v>3752</v>
      </c>
      <c r="D579" t="s">
        <v>6162</v>
      </c>
      <c r="E579" s="2">
        <v>4</v>
      </c>
      <c r="F579" s="2" t="str">
        <f>_xlfn.XLOOKUP(C579,customers!$A$1:$A$1001,customers!$B$1:$B$1001, ,0)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IF(I579="Rob","Robusta",IF(I579="Ara","Arabica",IF(I579="Lib","Liberica",IF(I579="Exc","Excelsa",""))))</f>
        <v>Liberica</v>
      </c>
      <c r="O579" t="str">
        <f t="shared" ref="O579:O642" si="29">IF(J579="M","Middle",IF(J579="L","Light",IF(J579="D","Dark","")))</f>
        <v>Middle</v>
      </c>
      <c r="P579" t="str">
        <f>_xlfn.XLOOKUP(Table1[[#This Row],[Customer ID]],customers!$A$1:$A$1001,customers!$I$1:$I$1001,,0)</f>
        <v>No</v>
      </c>
    </row>
    <row r="580" spans="1:16" x14ac:dyDescent="0.3">
      <c r="A580" s="2" t="s">
        <v>3756</v>
      </c>
      <c r="B580" s="3">
        <v>44720</v>
      </c>
      <c r="C580" s="2" t="s">
        <v>3757</v>
      </c>
      <c r="D580" t="s">
        <v>6184</v>
      </c>
      <c r="E580" s="2">
        <v>3</v>
      </c>
      <c r="F580" s="2" t="str">
        <f>_xlfn.XLOOKUP(C580,customers!$A$1:$A$1001,customers!$B$1:$B$1001, ,0)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_xlfn.XLOOKUP(C581,customers!$A$1:$A$1001,customers!$B$1:$B$1001, ,0)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Middle</v>
      </c>
      <c r="P581" t="str">
        <f>_xlfn.XLOOKUP(Table1[[#This Row],[Customer ID]],customers!$A$1:$A$1001,customers!$I$1:$I$1001,,0)</f>
        <v>No</v>
      </c>
    </row>
    <row r="582" spans="1:16" x14ac:dyDescent="0.3">
      <c r="A582" s="2" t="s">
        <v>3767</v>
      </c>
      <c r="B582" s="3">
        <v>43965</v>
      </c>
      <c r="C582" s="2" t="s">
        <v>3768</v>
      </c>
      <c r="D582" t="s">
        <v>6171</v>
      </c>
      <c r="E582" s="2">
        <v>3</v>
      </c>
      <c r="F582" s="2" t="str">
        <f>_xlfn.XLOOKUP(C582,customers!$A$1:$A$1001,customers!$B$1:$B$1001, ,0)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_xlfn.XLOOKUP(C583,customers!$A$1:$A$1001,customers!$B$1:$B$1001, ,0)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_xlfn.XLOOKUP(C584,customers!$A$1:$A$1001,customers!$B$1:$B$1001, ,0)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ID]],customers!$A$1:$A$1001,customers!$I$1:$I$1001,,0)</f>
        <v>No</v>
      </c>
    </row>
    <row r="585" spans="1:16" x14ac:dyDescent="0.3">
      <c r="A585" s="2" t="s">
        <v>3784</v>
      </c>
      <c r="B585" s="3">
        <v>43538</v>
      </c>
      <c r="C585" s="2" t="s">
        <v>3785</v>
      </c>
      <c r="D585" t="s">
        <v>6178</v>
      </c>
      <c r="E585" s="2">
        <v>1</v>
      </c>
      <c r="F585" s="2" t="str">
        <f>_xlfn.XLOOKUP(C585,customers!$A$1:$A$1001,customers!$B$1:$B$1001, ,0)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_xlfn.XLOOKUP(C586,customers!$A$1:$A$1001,customers!$B$1:$B$1001, ,0)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_xlfn.XLOOKUP(C587,customers!$A$1:$A$1001,customers!$B$1:$B$1001, ,0)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Middle</v>
      </c>
      <c r="P587" t="str">
        <f>_xlfn.XLOOKUP(Table1[[#This Row],[Customer ID]],customers!$A$1:$A$1001,customers!$I$1:$I$1001,,0)</f>
        <v>Yes</v>
      </c>
    </row>
    <row r="588" spans="1:16" x14ac:dyDescent="0.3">
      <c r="A588" s="2" t="s">
        <v>3802</v>
      </c>
      <c r="B588" s="3">
        <v>43867</v>
      </c>
      <c r="C588" s="2" t="s">
        <v>3803</v>
      </c>
      <c r="D588" t="s">
        <v>6142</v>
      </c>
      <c r="E588" s="2">
        <v>3</v>
      </c>
      <c r="F588" s="2" t="str">
        <f>_xlfn.XLOOKUP(C588,customers!$A$1:$A$1001,customers!$B$1:$B$1001, ,0)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_xlfn.XLOOKUP(C589,customers!$A$1:$A$1001,customers!$B$1:$B$1001, ,0)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_xlfn.XLOOKUP(C590,customers!$A$1:$A$1001,customers!$B$1:$B$1001, ,0)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Middle</v>
      </c>
      <c r="P590" t="str">
        <f>_xlfn.XLOOKUP(Table1[[#This Row],[Customer ID]],customers!$A$1:$A$1001,customers!$I$1:$I$1001,,0)</f>
        <v>Yes</v>
      </c>
    </row>
    <row r="591" spans="1:16" x14ac:dyDescent="0.3">
      <c r="A591" s="2" t="s">
        <v>3818</v>
      </c>
      <c r="B591" s="3">
        <v>43671</v>
      </c>
      <c r="C591" s="2" t="s">
        <v>3819</v>
      </c>
      <c r="D591" t="s">
        <v>6148</v>
      </c>
      <c r="E591" s="2">
        <v>6</v>
      </c>
      <c r="F591" s="2" t="str">
        <f>_xlfn.XLOOKUP(C591,customers!$A$1:$A$1001,customers!$B$1:$B$1001, ,0)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_xlfn.XLOOKUP(C592,customers!$A$1:$A$1001,customers!$B$1:$B$1001, ,0)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Middle</v>
      </c>
      <c r="P592" t="str">
        <f>_xlfn.XLOOKUP(Table1[[#This Row],[Customer ID]],customers!$A$1:$A$1001,customers!$I$1:$I$1001,,0)</f>
        <v>Yes</v>
      </c>
    </row>
    <row r="593" spans="1:16" x14ac:dyDescent="0.3">
      <c r="A593" s="2" t="s">
        <v>3829</v>
      </c>
      <c r="B593" s="3">
        <v>43587</v>
      </c>
      <c r="C593" s="2" t="s">
        <v>3830</v>
      </c>
      <c r="D593" t="s">
        <v>6163</v>
      </c>
      <c r="E593" s="2">
        <v>3</v>
      </c>
      <c r="F593" s="2" t="str">
        <f>_xlfn.XLOOKUP(C593,customers!$A$1:$A$1001,customers!$B$1:$B$1001, ,0)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_xlfn.XLOOKUP(C594,customers!$A$1:$A$1001,customers!$B$1:$B$1001, ,0)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Middle</v>
      </c>
      <c r="P594" t="str">
        <f>_xlfn.XLOOKUP(Table1[[#This Row],[Customer ID]],customers!$A$1:$A$1001,customers!$I$1:$I$1001,,0)</f>
        <v>No</v>
      </c>
    </row>
    <row r="595" spans="1:16" x14ac:dyDescent="0.3">
      <c r="A595" s="2" t="s">
        <v>3839</v>
      </c>
      <c r="B595" s="3">
        <v>43903</v>
      </c>
      <c r="C595" s="2" t="s">
        <v>3840</v>
      </c>
      <c r="D595" t="s">
        <v>6185</v>
      </c>
      <c r="E595" s="2">
        <v>1</v>
      </c>
      <c r="F595" s="2" t="str">
        <f>_xlfn.XLOOKUP(C595,customers!$A$1:$A$1001,customers!$B$1:$B$1001, ,0)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_xlfn.XLOOKUP(C596,customers!$A$1:$A$1001,customers!$B$1:$B$1001, ,0)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_xlfn.XLOOKUP(C597,customers!$A$1:$A$1001,customers!$B$1:$B$1001, ,0)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_xlfn.XLOOKUP(C598,customers!$A$1:$A$1001,customers!$B$1:$B$1001, ,0)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Middle</v>
      </c>
      <c r="P598" t="str">
        <f>_xlfn.XLOOKUP(Table1[[#This Row],[Customer ID]],customers!$A$1:$A$1001,customers!$I$1:$I$1001,,0)</f>
        <v>No</v>
      </c>
    </row>
    <row r="599" spans="1:16" x14ac:dyDescent="0.3">
      <c r="A599" s="2" t="s">
        <v>3860</v>
      </c>
      <c r="B599" s="3">
        <v>44532</v>
      </c>
      <c r="C599" s="2" t="s">
        <v>3861</v>
      </c>
      <c r="D599" t="s">
        <v>6164</v>
      </c>
      <c r="E599" s="2">
        <v>4</v>
      </c>
      <c r="F599" s="2" t="str">
        <f>_xlfn.XLOOKUP(C599,customers!$A$1:$A$1001,customers!$B$1:$B$1001, ,0)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_xlfn.XLOOKUP(C600,customers!$A$1:$A$1001,customers!$B$1:$B$1001, ,0)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Middle</v>
      </c>
      <c r="P600" t="str">
        <f>_xlfn.XLOOKUP(Table1[[#This Row],[Customer ID]],customers!$A$1:$A$1001,customers!$I$1:$I$1001,,0)</f>
        <v>Yes</v>
      </c>
    </row>
    <row r="601" spans="1:16" x14ac:dyDescent="0.3">
      <c r="A601" s="2" t="s">
        <v>3872</v>
      </c>
      <c r="B601" s="3">
        <v>44321</v>
      </c>
      <c r="C601" s="2" t="s">
        <v>3873</v>
      </c>
      <c r="D601" t="s">
        <v>6154</v>
      </c>
      <c r="E601" s="2">
        <v>4</v>
      </c>
      <c r="F601" s="2" t="str">
        <f>_xlfn.XLOOKUP(C601,customers!$A$1:$A$1001,customers!$B$1:$B$1001, ,0)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_xlfn.XLOOKUP(C602,customers!$A$1:$A$1001,customers!$B$1:$B$1001, ,0)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ID]],customers!$A$1:$A$1001,customers!$I$1:$I$1001,,0)</f>
        <v>No</v>
      </c>
    </row>
    <row r="603" spans="1:16" x14ac:dyDescent="0.3">
      <c r="A603" s="2" t="s">
        <v>3883</v>
      </c>
      <c r="B603" s="3">
        <v>43815</v>
      </c>
      <c r="C603" s="2" t="s">
        <v>3884</v>
      </c>
      <c r="D603" t="s">
        <v>6142</v>
      </c>
      <c r="E603" s="2">
        <v>4</v>
      </c>
      <c r="F603" s="2" t="str">
        <f>_xlfn.XLOOKUP(C603,customers!$A$1:$A$1001,customers!$B$1:$B$1001, ,0)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_xlfn.XLOOKUP(C604,customers!$A$1:$A$1001,customers!$B$1:$B$1001, ,0)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_xlfn.XLOOKUP(C605,customers!$A$1:$A$1001,customers!$B$1:$B$1001, ,0)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Middle</v>
      </c>
      <c r="P605" t="str">
        <f>_xlfn.XLOOKUP(Table1[[#This Row],[Customer ID]],customers!$A$1:$A$1001,customers!$I$1:$I$1001,,0)</f>
        <v>No</v>
      </c>
    </row>
    <row r="606" spans="1:16" x14ac:dyDescent="0.3">
      <c r="A606" s="2" t="s">
        <v>3900</v>
      </c>
      <c r="B606" s="3">
        <v>44148</v>
      </c>
      <c r="C606" s="2" t="s">
        <v>3901</v>
      </c>
      <c r="D606" t="s">
        <v>6165</v>
      </c>
      <c r="E606" s="2">
        <v>4</v>
      </c>
      <c r="F606" s="2" t="str">
        <f>_xlfn.XLOOKUP(C606,customers!$A$1:$A$1001,customers!$B$1:$B$1001, ,0)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3">
      <c r="A607" s="2" t="s">
        <v>3905</v>
      </c>
      <c r="B607" s="3">
        <v>44028</v>
      </c>
      <c r="C607" s="2" t="s">
        <v>3906</v>
      </c>
      <c r="D607" t="s">
        <v>6182</v>
      </c>
      <c r="E607" s="2">
        <v>5</v>
      </c>
      <c r="F607" s="2" t="str">
        <f>_xlfn.XLOOKUP(C607,customers!$A$1:$A$1001,customers!$B$1:$B$1001, ,0)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_xlfn.XLOOKUP(C608,customers!$A$1:$A$1001,customers!$B$1:$B$1001, ,0)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_xlfn.XLOOKUP(C609,customers!$A$1:$A$1001,customers!$B$1:$B$1001, ,0)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_xlfn.XLOOKUP(C610,customers!$A$1:$A$1001,customers!$B$1:$B$1001, ,0)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ID]],customers!$A$1:$A$1001,customers!$I$1:$I$1001,,0)</f>
        <v>No</v>
      </c>
    </row>
    <row r="611" spans="1:16" x14ac:dyDescent="0.3">
      <c r="A611" s="2" t="s">
        <v>3927</v>
      </c>
      <c r="B611" s="3">
        <v>44147</v>
      </c>
      <c r="C611" s="2" t="s">
        <v>3928</v>
      </c>
      <c r="D611" t="s">
        <v>6159</v>
      </c>
      <c r="E611" s="2">
        <v>6</v>
      </c>
      <c r="F611" s="2" t="str">
        <f>_xlfn.XLOOKUP(C611,customers!$A$1:$A$1001,customers!$B$1:$B$1001, ,0)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Middle</v>
      </c>
      <c r="P611" t="str">
        <f>_xlfn.XLOOKUP(Table1[[#This Row],[Customer ID]],customers!$A$1:$A$1001,customers!$I$1:$I$1001,,0)</f>
        <v>Yes</v>
      </c>
    </row>
    <row r="612" spans="1:16" x14ac:dyDescent="0.3">
      <c r="A612" s="2" t="s">
        <v>3933</v>
      </c>
      <c r="B612" s="3">
        <v>43743</v>
      </c>
      <c r="C612" s="2" t="s">
        <v>3934</v>
      </c>
      <c r="D612" t="s">
        <v>6138</v>
      </c>
      <c r="E612" s="2">
        <v>4</v>
      </c>
      <c r="F612" s="2" t="str">
        <f>_xlfn.XLOOKUP(C612,customers!$A$1:$A$1001,customers!$B$1:$B$1001, ,0)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Middle</v>
      </c>
      <c r="P612" t="str">
        <f>_xlfn.XLOOKUP(Table1[[#This Row],[Customer ID]],customers!$A$1:$A$1001,customers!$I$1:$I$1001,,0)</f>
        <v>No</v>
      </c>
    </row>
    <row r="613" spans="1:16" x14ac:dyDescent="0.3">
      <c r="A613" s="2" t="s">
        <v>3939</v>
      </c>
      <c r="B613" s="3">
        <v>43739</v>
      </c>
      <c r="C613" s="2" t="s">
        <v>3940</v>
      </c>
      <c r="D613" t="s">
        <v>6148</v>
      </c>
      <c r="E613" s="2">
        <v>2</v>
      </c>
      <c r="F613" s="2" t="str">
        <f>_xlfn.XLOOKUP(C613,customers!$A$1:$A$1001,customers!$B$1:$B$1001, ,0)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_xlfn.XLOOKUP(C614,customers!$A$1:$A$1001,customers!$B$1:$B$1001, ,0)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Middle</v>
      </c>
      <c r="P614" t="str">
        <f>_xlfn.XLOOKUP(Table1[[#This Row],[Customer ID]],customers!$A$1:$A$1001,customers!$I$1:$I$1001,,0)</f>
        <v>No</v>
      </c>
    </row>
    <row r="615" spans="1:16" x14ac:dyDescent="0.3">
      <c r="A615" s="2" t="s">
        <v>3950</v>
      </c>
      <c r="B615" s="3">
        <v>43761</v>
      </c>
      <c r="C615" s="2" t="s">
        <v>3951</v>
      </c>
      <c r="D615" t="s">
        <v>6146</v>
      </c>
      <c r="E615" s="2">
        <v>1</v>
      </c>
      <c r="F615" s="2" t="str">
        <f>_xlfn.XLOOKUP(C615,customers!$A$1:$A$1001,customers!$B$1:$B$1001, ,0)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Middle</v>
      </c>
      <c r="P615" t="str">
        <f>_xlfn.XLOOKUP(Table1[[#This Row],[Customer ID]],customers!$A$1:$A$1001,customers!$I$1:$I$1001,,0)</f>
        <v>No</v>
      </c>
    </row>
    <row r="616" spans="1:16" x14ac:dyDescent="0.3">
      <c r="A616" s="2" t="s">
        <v>3955</v>
      </c>
      <c r="B616" s="3">
        <v>43944</v>
      </c>
      <c r="C616" s="2" t="s">
        <v>3840</v>
      </c>
      <c r="D616" t="s">
        <v>6146</v>
      </c>
      <c r="E616" s="2">
        <v>5</v>
      </c>
      <c r="F616" s="2" t="str">
        <f>_xlfn.XLOOKUP(C616,customers!$A$1:$A$1001,customers!$B$1:$B$1001, ,0)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Middle</v>
      </c>
      <c r="P616" t="str">
        <f>_xlfn.XLOOKUP(Table1[[#This Row],[Customer ID]],customers!$A$1:$A$1001,customers!$I$1:$I$1001,,0)</f>
        <v>Yes</v>
      </c>
    </row>
    <row r="617" spans="1:16" x14ac:dyDescent="0.3">
      <c r="A617" s="2" t="s">
        <v>3960</v>
      </c>
      <c r="B617" s="3">
        <v>44006</v>
      </c>
      <c r="C617" s="2" t="s">
        <v>3961</v>
      </c>
      <c r="D617" t="s">
        <v>6164</v>
      </c>
      <c r="E617" s="2">
        <v>2</v>
      </c>
      <c r="F617" s="2" t="str">
        <f>_xlfn.XLOOKUP(C617,customers!$A$1:$A$1001,customers!$B$1:$B$1001, ,0)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_xlfn.XLOOKUP(C618,customers!$A$1:$A$1001,customers!$B$1:$B$1001, ,0)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Middle</v>
      </c>
      <c r="P618" t="str">
        <f>_xlfn.XLOOKUP(Table1[[#This Row],[Customer ID]],customers!$A$1:$A$1001,customers!$I$1:$I$1001,,0)</f>
        <v>No</v>
      </c>
    </row>
    <row r="619" spans="1:16" x14ac:dyDescent="0.3">
      <c r="A619" s="2" t="s">
        <v>3972</v>
      </c>
      <c r="B619" s="3">
        <v>43928</v>
      </c>
      <c r="C619" s="2" t="s">
        <v>3973</v>
      </c>
      <c r="D619" t="s">
        <v>6181</v>
      </c>
      <c r="E619" s="2">
        <v>1</v>
      </c>
      <c r="F619" s="2" t="str">
        <f>_xlfn.XLOOKUP(C619,customers!$A$1:$A$1001,customers!$B$1:$B$1001, ,0)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Middle</v>
      </c>
      <c r="P619" t="str">
        <f>_xlfn.XLOOKUP(Table1[[#This Row],[Customer ID]],customers!$A$1:$A$1001,customers!$I$1:$I$1001,,0)</f>
        <v>No</v>
      </c>
    </row>
    <row r="620" spans="1:16" x14ac:dyDescent="0.3">
      <c r="A620" s="2" t="s">
        <v>3978</v>
      </c>
      <c r="B620" s="3">
        <v>44469</v>
      </c>
      <c r="C620" s="2" t="s">
        <v>3979</v>
      </c>
      <c r="D620" t="s">
        <v>6183</v>
      </c>
      <c r="E620" s="2">
        <v>6</v>
      </c>
      <c r="F620" s="2" t="str">
        <f>_xlfn.XLOOKUP(C620,customers!$A$1:$A$1001,customers!$B$1:$B$1001, ,0)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_xlfn.XLOOKUP(C621,customers!$A$1:$A$1001,customers!$B$1:$B$1001, ,0)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_xlfn.XLOOKUP(C622,customers!$A$1:$A$1001,customers!$B$1:$B$1001, ,0)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Middle</v>
      </c>
      <c r="P622" t="str">
        <f>_xlfn.XLOOKUP(Table1[[#This Row],[Customer ID]],customers!$A$1:$A$1001,customers!$I$1:$I$1001,,0)</f>
        <v>No</v>
      </c>
    </row>
    <row r="623" spans="1:16" x14ac:dyDescent="0.3">
      <c r="A623" s="2" t="s">
        <v>3996</v>
      </c>
      <c r="B623" s="3">
        <v>44006</v>
      </c>
      <c r="C623" s="2" t="s">
        <v>3997</v>
      </c>
      <c r="D623" t="s">
        <v>6140</v>
      </c>
      <c r="E623" s="2">
        <v>6</v>
      </c>
      <c r="F623" s="2" t="str">
        <f>_xlfn.XLOOKUP(C623,customers!$A$1:$A$1001,customers!$B$1:$B$1001, ,0)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_xlfn.XLOOKUP(C624,customers!$A$1:$A$1001,customers!$B$1:$B$1001, ,0)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Middle</v>
      </c>
      <c r="P624" t="str">
        <f>_xlfn.XLOOKUP(Table1[[#This Row],[Customer ID]],customers!$A$1:$A$1001,customers!$I$1:$I$1001,,0)</f>
        <v>No</v>
      </c>
    </row>
    <row r="625" spans="1:16" x14ac:dyDescent="0.3">
      <c r="A625" s="2" t="s">
        <v>4007</v>
      </c>
      <c r="B625" s="3">
        <v>44224</v>
      </c>
      <c r="C625" s="2" t="s">
        <v>4008</v>
      </c>
      <c r="D625" t="s">
        <v>6183</v>
      </c>
      <c r="E625" s="2">
        <v>1</v>
      </c>
      <c r="F625" s="2" t="str">
        <f>_xlfn.XLOOKUP(C625,customers!$A$1:$A$1001,customers!$B$1:$B$1001, ,0)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ID]],customers!$A$1:$A$1001,customers!$I$1:$I$1001,,0)</f>
        <v>No</v>
      </c>
    </row>
    <row r="626" spans="1:16" x14ac:dyDescent="0.3">
      <c r="A626" s="2" t="s">
        <v>4012</v>
      </c>
      <c r="B626" s="3">
        <v>44010</v>
      </c>
      <c r="C626" s="2" t="s">
        <v>4013</v>
      </c>
      <c r="D626" t="s">
        <v>6166</v>
      </c>
      <c r="E626" s="2">
        <v>2</v>
      </c>
      <c r="F626" s="2" t="str">
        <f>_xlfn.XLOOKUP(C626,customers!$A$1:$A$1001,customers!$B$1:$B$1001, ,0)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Middle</v>
      </c>
      <c r="P626" t="str">
        <f>_xlfn.XLOOKUP(Table1[[#This Row],[Customer ID]],customers!$A$1:$A$1001,customers!$I$1:$I$1001,,0)</f>
        <v>Yes</v>
      </c>
    </row>
    <row r="627" spans="1:16" x14ac:dyDescent="0.3">
      <c r="A627" s="2" t="s">
        <v>4017</v>
      </c>
      <c r="B627" s="3">
        <v>44017</v>
      </c>
      <c r="C627" s="2" t="s">
        <v>4018</v>
      </c>
      <c r="D627" t="s">
        <v>6173</v>
      </c>
      <c r="E627" s="2">
        <v>5</v>
      </c>
      <c r="F627" s="2" t="str">
        <f>_xlfn.XLOOKUP(C627,customers!$A$1:$A$1001,customers!$B$1:$B$1001, ,0)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_xlfn.XLOOKUP(C628,customers!$A$1:$A$1001,customers!$B$1:$B$1001, ,0)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Middle</v>
      </c>
      <c r="P628" t="str">
        <f>_xlfn.XLOOKUP(Table1[[#This Row],[Customer ID]],customers!$A$1:$A$1001,customers!$I$1:$I$1001,,0)</f>
        <v>No</v>
      </c>
    </row>
    <row r="629" spans="1:16" x14ac:dyDescent="0.3">
      <c r="A629" s="2" t="s">
        <v>4029</v>
      </c>
      <c r="B629" s="3">
        <v>44682</v>
      </c>
      <c r="C629" s="2" t="s">
        <v>4030</v>
      </c>
      <c r="D629" t="s">
        <v>6166</v>
      </c>
      <c r="E629" s="2">
        <v>2</v>
      </c>
      <c r="F629" s="2" t="str">
        <f>_xlfn.XLOOKUP(C629,customers!$A$1:$A$1001,customers!$B$1:$B$1001, ,0)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Middle</v>
      </c>
      <c r="P629" t="str">
        <f>_xlfn.XLOOKUP(Table1[[#This Row],[Customer ID]],customers!$A$1:$A$1001,customers!$I$1:$I$1001,,0)</f>
        <v>Yes</v>
      </c>
    </row>
    <row r="630" spans="1:16" x14ac:dyDescent="0.3">
      <c r="A630" s="2" t="s">
        <v>4035</v>
      </c>
      <c r="B630" s="3">
        <v>44680</v>
      </c>
      <c r="C630" s="2" t="s">
        <v>4036</v>
      </c>
      <c r="D630" t="s">
        <v>6184</v>
      </c>
      <c r="E630" s="2">
        <v>6</v>
      </c>
      <c r="F630" s="2" t="str">
        <f>_xlfn.XLOOKUP(C630,customers!$A$1:$A$1001,customers!$B$1:$B$1001, ,0)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_xlfn.XLOOKUP(C631,customers!$A$1:$A$1001,customers!$B$1:$B$1001, ,0)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_xlfn.XLOOKUP(C632,customers!$A$1:$A$1001,customers!$B$1:$B$1001, ,0)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_xlfn.XLOOKUP(C633,customers!$A$1:$A$1001,customers!$B$1:$B$1001, ,0)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_xlfn.XLOOKUP(C634,customers!$A$1:$A$1001,customers!$B$1:$B$1001, ,0)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_xlfn.XLOOKUP(C635,customers!$A$1:$A$1001,customers!$B$1:$B$1001, ,0)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_xlfn.XLOOKUP(C636,customers!$A$1:$A$1001,customers!$B$1:$B$1001, ,0)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Middle</v>
      </c>
      <c r="P636" t="str">
        <f>_xlfn.XLOOKUP(Table1[[#This Row],[Customer ID]],customers!$A$1:$A$1001,customers!$I$1:$I$1001,,0)</f>
        <v>No</v>
      </c>
    </row>
    <row r="637" spans="1:16" x14ac:dyDescent="0.3">
      <c r="A637" s="2" t="s">
        <v>4074</v>
      </c>
      <c r="B637" s="3">
        <v>44578</v>
      </c>
      <c r="C637" s="2" t="s">
        <v>4075</v>
      </c>
      <c r="D637" t="s">
        <v>6176</v>
      </c>
      <c r="E637" s="2">
        <v>4</v>
      </c>
      <c r="F637" s="2" t="str">
        <f>_xlfn.XLOOKUP(C637,customers!$A$1:$A$1001,customers!$B$1:$B$1001, ,0)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_xlfn.XLOOKUP(C638,customers!$A$1:$A$1001,customers!$B$1:$B$1001, ,0)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_xlfn.XLOOKUP(C639,customers!$A$1:$A$1001,customers!$B$1:$B$1001, ,0)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Middle</v>
      </c>
      <c r="P639" t="str">
        <f>_xlfn.XLOOKUP(Table1[[#This Row],[Customer ID]],customers!$A$1:$A$1001,customers!$I$1:$I$1001,,0)</f>
        <v>Yes</v>
      </c>
    </row>
    <row r="640" spans="1:16" x14ac:dyDescent="0.3">
      <c r="A640" s="2" t="s">
        <v>4093</v>
      </c>
      <c r="B640" s="3">
        <v>43684</v>
      </c>
      <c r="C640" s="2" t="s">
        <v>4094</v>
      </c>
      <c r="D640" t="s">
        <v>6175</v>
      </c>
      <c r="E640" s="2">
        <v>3</v>
      </c>
      <c r="F640" s="2" t="str">
        <f>_xlfn.XLOOKUP(C640,customers!$A$1:$A$1001,customers!$B$1:$B$1001, ,0)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Middle</v>
      </c>
      <c r="P640" t="str">
        <f>_xlfn.XLOOKUP(Table1[[#This Row],[Customer ID]],customers!$A$1:$A$1001,customers!$I$1:$I$1001,,0)</f>
        <v>Yes</v>
      </c>
    </row>
    <row r="641" spans="1:16" x14ac:dyDescent="0.3">
      <c r="A641" s="2" t="s">
        <v>4098</v>
      </c>
      <c r="B641" s="3">
        <v>44331</v>
      </c>
      <c r="C641" s="2" t="s">
        <v>4099</v>
      </c>
      <c r="D641" t="s">
        <v>6150</v>
      </c>
      <c r="E641" s="2">
        <v>1</v>
      </c>
      <c r="F641" s="2" t="str">
        <f>_xlfn.XLOOKUP(C641,customers!$A$1:$A$1001,customers!$B$1:$B$1001, ,0)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_xlfn.XLOOKUP(C642,customers!$A$1:$A$1001,customers!$B$1:$B$1001, ,0)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_xlfn.XLOOKUP(C643,customers!$A$1:$A$1001,customers!$B$1:$B$1001, ,0)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IF(I643="Rob","Robusta",IF(I643="Ara","Arabica",IF(I643="Lib","Liberica",IF(I643="Exc","Excelsa",""))))</f>
        <v>Robusta</v>
      </c>
      <c r="O643" t="str">
        <f t="shared" ref="O643:O706" si="32">IF(J643="M","Middle",IF(J643="L","Light",IF(J643="D","Dark","")))</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_xlfn.XLOOKUP(C644,customers!$A$1:$A$1001,customers!$B$1:$B$1001, ,0)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Middle</v>
      </c>
      <c r="P644" t="str">
        <f>_xlfn.XLOOKUP(Table1[[#This Row],[Customer ID]],customers!$A$1:$A$1001,customers!$I$1:$I$1001,,0)</f>
        <v>Yes</v>
      </c>
    </row>
    <row r="645" spans="1:16" x14ac:dyDescent="0.3">
      <c r="A645" s="2" t="s">
        <v>4123</v>
      </c>
      <c r="B645" s="3">
        <v>44011</v>
      </c>
      <c r="C645" s="2" t="s">
        <v>4124</v>
      </c>
      <c r="D645" t="s">
        <v>6148</v>
      </c>
      <c r="E645" s="2">
        <v>3</v>
      </c>
      <c r="F645" s="2" t="str">
        <f>_xlfn.XLOOKUP(C645,customers!$A$1:$A$1001,customers!$B$1:$B$1001, ,0)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_xlfn.XLOOKUP(C646,customers!$A$1:$A$1001,customers!$B$1:$B$1001, ,0)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3">
      <c r="A647" s="2" t="s">
        <v>4133</v>
      </c>
      <c r="B647" s="3">
        <v>44106</v>
      </c>
      <c r="C647" s="2" t="s">
        <v>4134</v>
      </c>
      <c r="D647" t="s">
        <v>6168</v>
      </c>
      <c r="E647" s="2">
        <v>3</v>
      </c>
      <c r="F647" s="2" t="str">
        <f>_xlfn.XLOOKUP(C647,customers!$A$1:$A$1001,customers!$B$1:$B$1001, ,0)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_xlfn.XLOOKUP(C648,customers!$A$1:$A$1001,customers!$B$1:$B$1001, ,0)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_xlfn.XLOOKUP(C649,customers!$A$1:$A$1001,customers!$B$1:$B$1001, ,0)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_xlfn.XLOOKUP(C650,customers!$A$1:$A$1001,customers!$B$1:$B$1001, ,0)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ID]],customers!$A$1:$A$1001,customers!$I$1:$I$1001,,0)</f>
        <v>No</v>
      </c>
    </row>
    <row r="651" spans="1:16" x14ac:dyDescent="0.3">
      <c r="A651" s="2" t="s">
        <v>4157</v>
      </c>
      <c r="B651" s="3">
        <v>44015</v>
      </c>
      <c r="C651" s="2" t="s">
        <v>4158</v>
      </c>
      <c r="D651" t="s">
        <v>6170</v>
      </c>
      <c r="E651" s="2">
        <v>6</v>
      </c>
      <c r="F651" s="2" t="str">
        <f>_xlfn.XLOOKUP(C651,customers!$A$1:$A$1001,customers!$B$1:$B$1001, ,0)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_xlfn.XLOOKUP(C652,customers!$A$1:$A$1001,customers!$B$1:$B$1001, ,0)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_xlfn.XLOOKUP(C653,customers!$A$1:$A$1001,customers!$B$1:$B$1001, ,0)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_xlfn.XLOOKUP(C654,customers!$A$1:$A$1001,customers!$B$1:$B$1001, ,0)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_xlfn.XLOOKUP(C655,customers!$A$1:$A$1001,customers!$B$1:$B$1001, ,0)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Middle</v>
      </c>
      <c r="P655" t="str">
        <f>_xlfn.XLOOKUP(Table1[[#This Row],[Customer ID]],customers!$A$1:$A$1001,customers!$I$1:$I$1001,,0)</f>
        <v>No</v>
      </c>
    </row>
    <row r="656" spans="1:16" x14ac:dyDescent="0.3">
      <c r="A656" s="2" t="s">
        <v>4185</v>
      </c>
      <c r="B656" s="3">
        <v>43476</v>
      </c>
      <c r="C656" s="2" t="s">
        <v>4186</v>
      </c>
      <c r="D656" t="s">
        <v>6168</v>
      </c>
      <c r="E656" s="2">
        <v>3</v>
      </c>
      <c r="F656" s="2" t="str">
        <f>_xlfn.XLOOKUP(C656,customers!$A$1:$A$1001,customers!$B$1:$B$1001, ,0)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3">
      <c r="A657" s="2" t="s">
        <v>4191</v>
      </c>
      <c r="B657" s="3">
        <v>43728</v>
      </c>
      <c r="C657" s="2" t="s">
        <v>4192</v>
      </c>
      <c r="D657" t="s">
        <v>6151</v>
      </c>
      <c r="E657" s="2">
        <v>2</v>
      </c>
      <c r="F657" s="2" t="str">
        <f>_xlfn.XLOOKUP(C657,customers!$A$1:$A$1001,customers!$B$1:$B$1001, ,0)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Middle</v>
      </c>
      <c r="P657" t="str">
        <f>_xlfn.XLOOKUP(Table1[[#This Row],[Customer ID]],customers!$A$1:$A$1001,customers!$I$1:$I$1001,,0)</f>
        <v>Yes</v>
      </c>
    </row>
    <row r="658" spans="1:16" x14ac:dyDescent="0.3">
      <c r="A658" s="2" t="s">
        <v>4196</v>
      </c>
      <c r="B658" s="3">
        <v>44485</v>
      </c>
      <c r="C658" s="2" t="s">
        <v>4197</v>
      </c>
      <c r="D658" t="s">
        <v>6143</v>
      </c>
      <c r="E658" s="2">
        <v>4</v>
      </c>
      <c r="F658" s="2" t="str">
        <f>_xlfn.XLOOKUP(C658,customers!$A$1:$A$1001,customers!$B$1:$B$1001, ,0)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ID]],customers!$A$1:$A$1001,customers!$I$1:$I$1001,,0)</f>
        <v>No</v>
      </c>
    </row>
    <row r="659" spans="1:16" x14ac:dyDescent="0.3">
      <c r="A659" s="2" t="s">
        <v>4201</v>
      </c>
      <c r="B659" s="3">
        <v>43831</v>
      </c>
      <c r="C659" s="2" t="s">
        <v>4202</v>
      </c>
      <c r="D659" t="s">
        <v>6157</v>
      </c>
      <c r="E659" s="2">
        <v>2</v>
      </c>
      <c r="F659" s="2" t="str">
        <f>_xlfn.XLOOKUP(C659,customers!$A$1:$A$1001,customers!$B$1:$B$1001, ,0)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Middle</v>
      </c>
      <c r="P659" t="str">
        <f>_xlfn.XLOOKUP(Table1[[#This Row],[Customer ID]],customers!$A$1:$A$1001,customers!$I$1:$I$1001,,0)</f>
        <v>Yes</v>
      </c>
    </row>
    <row r="660" spans="1:16" x14ac:dyDescent="0.3">
      <c r="A660" s="2" t="s">
        <v>4207</v>
      </c>
      <c r="B660" s="3">
        <v>44630</v>
      </c>
      <c r="C660" s="2" t="s">
        <v>4263</v>
      </c>
      <c r="D660" t="s">
        <v>6139</v>
      </c>
      <c r="E660" s="2">
        <v>3</v>
      </c>
      <c r="F660" s="2" t="str">
        <f>_xlfn.XLOOKUP(C660,customers!$A$1:$A$1001,customers!$B$1:$B$1001, ,0)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Middle</v>
      </c>
      <c r="P660" t="str">
        <f>_xlfn.XLOOKUP(Table1[[#This Row],[Customer ID]],customers!$A$1:$A$1001,customers!$I$1:$I$1001,,0)</f>
        <v>Yes</v>
      </c>
    </row>
    <row r="661" spans="1:16" x14ac:dyDescent="0.3">
      <c r="A661" s="2" t="s">
        <v>4211</v>
      </c>
      <c r="B661" s="3">
        <v>44693</v>
      </c>
      <c r="C661" s="2" t="s">
        <v>4212</v>
      </c>
      <c r="D661" t="s">
        <v>6168</v>
      </c>
      <c r="E661" s="2">
        <v>2</v>
      </c>
      <c r="F661" s="2" t="str">
        <f>_xlfn.XLOOKUP(C661,customers!$A$1:$A$1001,customers!$B$1:$B$1001, ,0)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_xlfn.XLOOKUP(C662,customers!$A$1:$A$1001,customers!$B$1:$B$1001, ,0)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_xlfn.XLOOKUP(C663,customers!$A$1:$A$1001,customers!$B$1:$B$1001, ,0)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Middle</v>
      </c>
      <c r="P663" t="str">
        <f>_xlfn.XLOOKUP(Table1[[#This Row],[Customer ID]],customers!$A$1:$A$1001,customers!$I$1:$I$1001,,0)</f>
        <v>Yes</v>
      </c>
    </row>
    <row r="664" spans="1:16" x14ac:dyDescent="0.3">
      <c r="A664" s="2" t="s">
        <v>4229</v>
      </c>
      <c r="B664" s="3">
        <v>44364</v>
      </c>
      <c r="C664" s="2" t="s">
        <v>4230</v>
      </c>
      <c r="D664" t="s">
        <v>6165</v>
      </c>
      <c r="E664" s="2">
        <v>5</v>
      </c>
      <c r="F664" s="2" t="str">
        <f>_xlfn.XLOOKUP(C664,customers!$A$1:$A$1001,customers!$B$1:$B$1001, ,0)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3">
      <c r="A665" s="2" t="s">
        <v>4234</v>
      </c>
      <c r="B665" s="3">
        <v>43554</v>
      </c>
      <c r="C665" s="2" t="s">
        <v>4235</v>
      </c>
      <c r="D665" t="s">
        <v>6155</v>
      </c>
      <c r="E665" s="2">
        <v>6</v>
      </c>
      <c r="F665" s="2" t="str">
        <f>_xlfn.XLOOKUP(C665,customers!$A$1:$A$1001,customers!$B$1:$B$1001, ,0)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Middle</v>
      </c>
      <c r="P665" t="str">
        <f>_xlfn.XLOOKUP(Table1[[#This Row],[Customer ID]],customers!$A$1:$A$1001,customers!$I$1:$I$1001,,0)</f>
        <v>No</v>
      </c>
    </row>
    <row r="666" spans="1:16" x14ac:dyDescent="0.3">
      <c r="A666" s="2" t="s">
        <v>4239</v>
      </c>
      <c r="B666" s="3">
        <v>44549</v>
      </c>
      <c r="C666" s="2" t="s">
        <v>4240</v>
      </c>
      <c r="D666" t="s">
        <v>6183</v>
      </c>
      <c r="E666" s="2">
        <v>6</v>
      </c>
      <c r="F666" s="2" t="str">
        <f>_xlfn.XLOOKUP(C666,customers!$A$1:$A$1001,customers!$B$1:$B$1001, ,0)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ID]],customers!$A$1:$A$1001,customers!$I$1:$I$1001,,0)</f>
        <v>No</v>
      </c>
    </row>
    <row r="667" spans="1:16" x14ac:dyDescent="0.3">
      <c r="A667" s="2" t="s">
        <v>4239</v>
      </c>
      <c r="B667" s="3">
        <v>44549</v>
      </c>
      <c r="C667" s="2" t="s">
        <v>4240</v>
      </c>
      <c r="D667" t="s">
        <v>6150</v>
      </c>
      <c r="E667" s="2">
        <v>2</v>
      </c>
      <c r="F667" s="2" t="str">
        <f>_xlfn.XLOOKUP(C667,customers!$A$1:$A$1001,customers!$B$1:$B$1001, ,0)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ID]],customers!$A$1:$A$1001,customers!$I$1:$I$1001,,0)</f>
        <v>No</v>
      </c>
    </row>
    <row r="668" spans="1:16" x14ac:dyDescent="0.3">
      <c r="A668" s="2" t="s">
        <v>4250</v>
      </c>
      <c r="B668" s="3">
        <v>43987</v>
      </c>
      <c r="C668" s="2" t="s">
        <v>4251</v>
      </c>
      <c r="D668" t="s">
        <v>6168</v>
      </c>
      <c r="E668" s="2">
        <v>4</v>
      </c>
      <c r="F668" s="2" t="str">
        <f>_xlfn.XLOOKUP(C668,customers!$A$1:$A$1001,customers!$B$1:$B$1001, ,0)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3">
      <c r="A669" s="2" t="s">
        <v>4256</v>
      </c>
      <c r="B669" s="3">
        <v>44451</v>
      </c>
      <c r="C669" s="2" t="s">
        <v>4257</v>
      </c>
      <c r="D669" t="s">
        <v>6147</v>
      </c>
      <c r="E669" s="2">
        <v>6</v>
      </c>
      <c r="F669" s="2" t="str">
        <f>_xlfn.XLOOKUP(C669,customers!$A$1:$A$1001,customers!$B$1:$B$1001, ,0)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3">
      <c r="A670" s="2" t="s">
        <v>4262</v>
      </c>
      <c r="B670" s="3">
        <v>44636</v>
      </c>
      <c r="C670" s="2" t="s">
        <v>4263</v>
      </c>
      <c r="D670" t="s">
        <v>6142</v>
      </c>
      <c r="E670" s="2">
        <v>5</v>
      </c>
      <c r="F670" s="2" t="str">
        <f>_xlfn.XLOOKUP(C670,customers!$A$1:$A$1001,customers!$B$1:$B$1001, ,0)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_xlfn.XLOOKUP(C671,customers!$A$1:$A$1001,customers!$B$1:$B$1001, ,0)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Middle</v>
      </c>
      <c r="P671" t="str">
        <f>_xlfn.XLOOKUP(Table1[[#This Row],[Customer ID]],customers!$A$1:$A$1001,customers!$I$1:$I$1001,,0)</f>
        <v>No</v>
      </c>
    </row>
    <row r="672" spans="1:16" x14ac:dyDescent="0.3">
      <c r="A672" s="2" t="s">
        <v>4274</v>
      </c>
      <c r="B672" s="3">
        <v>43606</v>
      </c>
      <c r="C672" s="2" t="s">
        <v>4275</v>
      </c>
      <c r="D672" t="s">
        <v>6159</v>
      </c>
      <c r="E672" s="2">
        <v>3</v>
      </c>
      <c r="F672" s="2" t="str">
        <f>_xlfn.XLOOKUP(C672,customers!$A$1:$A$1001,customers!$B$1:$B$1001, ,0)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Middle</v>
      </c>
      <c r="P672" t="str">
        <f>_xlfn.XLOOKUP(Table1[[#This Row],[Customer ID]],customers!$A$1:$A$1001,customers!$I$1:$I$1001,,0)</f>
        <v>Yes</v>
      </c>
    </row>
    <row r="673" spans="1:16" x14ac:dyDescent="0.3">
      <c r="A673" s="2" t="s">
        <v>4280</v>
      </c>
      <c r="B673" s="3">
        <v>44495</v>
      </c>
      <c r="C673" s="2" t="s">
        <v>4281</v>
      </c>
      <c r="D673" t="s">
        <v>6179</v>
      </c>
      <c r="E673" s="2">
        <v>5</v>
      </c>
      <c r="F673" s="2" t="str">
        <f>_xlfn.XLOOKUP(C673,customers!$A$1:$A$1001,customers!$B$1:$B$1001, ,0)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_xlfn.XLOOKUP(C674,customers!$A$1:$A$1001,customers!$B$1:$B$1001, ,0)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Middle</v>
      </c>
      <c r="P674" t="str">
        <f>_xlfn.XLOOKUP(Table1[[#This Row],[Customer ID]],customers!$A$1:$A$1001,customers!$I$1:$I$1001,,0)</f>
        <v>Yes</v>
      </c>
    </row>
    <row r="675" spans="1:16" x14ac:dyDescent="0.3">
      <c r="A675" s="2" t="s">
        <v>4291</v>
      </c>
      <c r="B675" s="3">
        <v>44118</v>
      </c>
      <c r="C675" s="2" t="s">
        <v>4292</v>
      </c>
      <c r="D675" t="s">
        <v>6141</v>
      </c>
      <c r="E675" s="2">
        <v>6</v>
      </c>
      <c r="F675" s="2" t="str">
        <f>_xlfn.XLOOKUP(C675,customers!$A$1:$A$1001,customers!$B$1:$B$1001, ,0)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Middle</v>
      </c>
      <c r="P675" t="str">
        <f>_xlfn.XLOOKUP(Table1[[#This Row],[Customer ID]],customers!$A$1:$A$1001,customers!$I$1:$I$1001,,0)</f>
        <v>Yes</v>
      </c>
    </row>
    <row r="676" spans="1:16" x14ac:dyDescent="0.3">
      <c r="A676" s="2" t="s">
        <v>4297</v>
      </c>
      <c r="B676" s="3">
        <v>44543</v>
      </c>
      <c r="C676" s="2" t="s">
        <v>4298</v>
      </c>
      <c r="D676" t="s">
        <v>6182</v>
      </c>
      <c r="E676" s="2">
        <v>6</v>
      </c>
      <c r="F676" s="2" t="str">
        <f>_xlfn.XLOOKUP(C676,customers!$A$1:$A$1001,customers!$B$1:$B$1001, ,0)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_xlfn.XLOOKUP(C677,customers!$A$1:$A$1001,customers!$B$1:$B$1001, ,0)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_xlfn.XLOOKUP(C678,customers!$A$1:$A$1001,customers!$B$1:$B$1001, ,0)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_xlfn.XLOOKUP(C679,customers!$A$1:$A$1001,customers!$B$1:$B$1001, ,0)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Middle</v>
      </c>
      <c r="P679" t="str">
        <f>_xlfn.XLOOKUP(Table1[[#This Row],[Customer ID]],customers!$A$1:$A$1001,customers!$I$1:$I$1001,,0)</f>
        <v>No</v>
      </c>
    </row>
    <row r="680" spans="1:16" x14ac:dyDescent="0.3">
      <c r="A680" s="2" t="s">
        <v>4319</v>
      </c>
      <c r="B680" s="3">
        <v>44281</v>
      </c>
      <c r="C680" s="2" t="s">
        <v>4320</v>
      </c>
      <c r="D680" t="s">
        <v>6182</v>
      </c>
      <c r="E680" s="2">
        <v>6</v>
      </c>
      <c r="F680" s="2" t="str">
        <f>_xlfn.XLOOKUP(C680,customers!$A$1:$A$1001,customers!$B$1:$B$1001, ,0)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_xlfn.XLOOKUP(C681,customers!$A$1:$A$1001,customers!$B$1:$B$1001, ,0)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_xlfn.XLOOKUP(C682,customers!$A$1:$A$1001,customers!$B$1:$B$1001, ,0)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Middle</v>
      </c>
      <c r="P682" t="str">
        <f>_xlfn.XLOOKUP(Table1[[#This Row],[Customer ID]],customers!$A$1:$A$1001,customers!$I$1:$I$1001,,0)</f>
        <v>No</v>
      </c>
    </row>
    <row r="683" spans="1:16" x14ac:dyDescent="0.3">
      <c r="A683" s="2" t="s">
        <v>4336</v>
      </c>
      <c r="B683" s="3">
        <v>44080</v>
      </c>
      <c r="C683" s="2" t="s">
        <v>4337</v>
      </c>
      <c r="D683" t="s">
        <v>6145</v>
      </c>
      <c r="E683" s="2">
        <v>2</v>
      </c>
      <c r="F683" s="2" t="str">
        <f>_xlfn.XLOOKUP(C683,customers!$A$1:$A$1001,customers!$B$1:$B$1001, ,0)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_xlfn.XLOOKUP(C684,customers!$A$1:$A$1001,customers!$B$1:$B$1001, ,0)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Middle</v>
      </c>
      <c r="P684" t="str">
        <f>_xlfn.XLOOKUP(Table1[[#This Row],[Customer ID]],customers!$A$1:$A$1001,customers!$I$1:$I$1001,,0)</f>
        <v>Yes</v>
      </c>
    </row>
    <row r="685" spans="1:16" x14ac:dyDescent="0.3">
      <c r="A685" s="2" t="s">
        <v>4348</v>
      </c>
      <c r="B685" s="3">
        <v>43941</v>
      </c>
      <c r="C685" s="2" t="s">
        <v>4349</v>
      </c>
      <c r="D685" t="s">
        <v>6169</v>
      </c>
      <c r="E685" s="2">
        <v>6</v>
      </c>
      <c r="F685" s="2" t="str">
        <f>_xlfn.XLOOKUP(C685,customers!$A$1:$A$1001,customers!$B$1:$B$1001, ,0)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ID]],customers!$A$1:$A$1001,customers!$I$1:$I$1001,,0)</f>
        <v>No</v>
      </c>
    </row>
    <row r="686" spans="1:16" x14ac:dyDescent="0.3">
      <c r="A686" s="2" t="s">
        <v>4354</v>
      </c>
      <c r="B686" s="3">
        <v>43517</v>
      </c>
      <c r="C686" s="2" t="s">
        <v>4355</v>
      </c>
      <c r="D686" t="s">
        <v>6179</v>
      </c>
      <c r="E686" s="2">
        <v>6</v>
      </c>
      <c r="F686" s="2" t="str">
        <f>_xlfn.XLOOKUP(C686,customers!$A$1:$A$1001,customers!$B$1:$B$1001, ,0)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_xlfn.XLOOKUP(C687,customers!$A$1:$A$1001,customers!$B$1:$B$1001, ,0)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_xlfn.XLOOKUP(C688,customers!$A$1:$A$1001,customers!$B$1:$B$1001, ,0)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_xlfn.XLOOKUP(C689,customers!$A$1:$A$1001,customers!$B$1:$B$1001, ,0)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Middle</v>
      </c>
      <c r="P689" t="str">
        <f>_xlfn.XLOOKUP(Table1[[#This Row],[Customer ID]],customers!$A$1:$A$1001,customers!$I$1:$I$1001,,0)</f>
        <v>No</v>
      </c>
    </row>
    <row r="690" spans="1:16" x14ac:dyDescent="0.3">
      <c r="A690" s="2" t="s">
        <v>4377</v>
      </c>
      <c r="B690" s="3">
        <v>43579</v>
      </c>
      <c r="C690" s="2" t="s">
        <v>4378</v>
      </c>
      <c r="D690" t="s">
        <v>6140</v>
      </c>
      <c r="E690" s="2">
        <v>5</v>
      </c>
      <c r="F690" s="2" t="str">
        <f>_xlfn.XLOOKUP(C690,customers!$A$1:$A$1001,customers!$B$1:$B$1001, ,0)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_xlfn.XLOOKUP(C691,customers!$A$1:$A$1001,customers!$B$1:$B$1001, ,0)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Middle</v>
      </c>
      <c r="P691" t="str">
        <f>_xlfn.XLOOKUP(Table1[[#This Row],[Customer ID]],customers!$A$1:$A$1001,customers!$I$1:$I$1001,,0)</f>
        <v>No</v>
      </c>
    </row>
    <row r="692" spans="1:16" x14ac:dyDescent="0.3">
      <c r="A692" s="2" t="s">
        <v>4389</v>
      </c>
      <c r="B692" s="3">
        <v>44754</v>
      </c>
      <c r="C692" s="2" t="s">
        <v>4390</v>
      </c>
      <c r="D692" t="s">
        <v>6165</v>
      </c>
      <c r="E692" s="2">
        <v>6</v>
      </c>
      <c r="F692" s="2" t="str">
        <f>_xlfn.XLOOKUP(C692,customers!$A$1:$A$1001,customers!$B$1:$B$1001, ,0)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3">
      <c r="A693" s="2" t="s">
        <v>4393</v>
      </c>
      <c r="B693" s="3">
        <v>44227</v>
      </c>
      <c r="C693" s="2" t="s">
        <v>4434</v>
      </c>
      <c r="D693" t="s">
        <v>6155</v>
      </c>
      <c r="E693" s="2">
        <v>2</v>
      </c>
      <c r="F693" s="2" t="str">
        <f>_xlfn.XLOOKUP(C693,customers!$A$1:$A$1001,customers!$B$1:$B$1001, ,0)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Middle</v>
      </c>
      <c r="P693" t="str">
        <f>_xlfn.XLOOKUP(Table1[[#This Row],[Customer ID]],customers!$A$1:$A$1001,customers!$I$1:$I$1001,,0)</f>
        <v>No</v>
      </c>
    </row>
    <row r="694" spans="1:16" x14ac:dyDescent="0.3">
      <c r="A694" s="2" t="s">
        <v>4399</v>
      </c>
      <c r="B694" s="3">
        <v>43720</v>
      </c>
      <c r="C694" s="2" t="s">
        <v>4400</v>
      </c>
      <c r="D694" t="s">
        <v>6143</v>
      </c>
      <c r="E694" s="2">
        <v>1</v>
      </c>
      <c r="F694" s="2" t="str">
        <f>_xlfn.XLOOKUP(C694,customers!$A$1:$A$1001,customers!$B$1:$B$1001, ,0)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ID]],customers!$A$1:$A$1001,customers!$I$1:$I$1001,,0)</f>
        <v>No</v>
      </c>
    </row>
    <row r="695" spans="1:16" x14ac:dyDescent="0.3">
      <c r="A695" s="2" t="s">
        <v>4405</v>
      </c>
      <c r="B695" s="3">
        <v>44012</v>
      </c>
      <c r="C695" s="2" t="s">
        <v>4406</v>
      </c>
      <c r="D695" t="s">
        <v>6175</v>
      </c>
      <c r="E695" s="2">
        <v>2</v>
      </c>
      <c r="F695" s="2" t="str">
        <f>_xlfn.XLOOKUP(C695,customers!$A$1:$A$1001,customers!$B$1:$B$1001, ,0)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Middle</v>
      </c>
      <c r="P695" t="str">
        <f>_xlfn.XLOOKUP(Table1[[#This Row],[Customer ID]],customers!$A$1:$A$1001,customers!$I$1:$I$1001,,0)</f>
        <v>Yes</v>
      </c>
    </row>
    <row r="696" spans="1:16" x14ac:dyDescent="0.3">
      <c r="A696" s="2" t="s">
        <v>4411</v>
      </c>
      <c r="B696" s="3">
        <v>43915</v>
      </c>
      <c r="C696" s="2" t="s">
        <v>4412</v>
      </c>
      <c r="D696" t="s">
        <v>6144</v>
      </c>
      <c r="E696" s="2">
        <v>5</v>
      </c>
      <c r="F696" s="2" t="str">
        <f>_xlfn.XLOOKUP(C696,customers!$A$1:$A$1001,customers!$B$1:$B$1001, ,0)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ID]],customers!$A$1:$A$1001,customers!$I$1:$I$1001,,0)</f>
        <v>No</v>
      </c>
    </row>
    <row r="697" spans="1:16" x14ac:dyDescent="0.3">
      <c r="A697" s="2" t="s">
        <v>4417</v>
      </c>
      <c r="B697" s="3">
        <v>44300</v>
      </c>
      <c r="C697" s="2" t="s">
        <v>4418</v>
      </c>
      <c r="D697" t="s">
        <v>6164</v>
      </c>
      <c r="E697" s="2">
        <v>5</v>
      </c>
      <c r="F697" s="2" t="str">
        <f>_xlfn.XLOOKUP(C697,customers!$A$1:$A$1001,customers!$B$1:$B$1001, ,0)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_xlfn.XLOOKUP(C698,customers!$A$1:$A$1001,customers!$B$1:$B$1001, ,0)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ID]],customers!$A$1:$A$1001,customers!$I$1:$I$1001,,0)</f>
        <v>No</v>
      </c>
    </row>
    <row r="699" spans="1:16" x14ac:dyDescent="0.3">
      <c r="A699" s="2" t="s">
        <v>4429</v>
      </c>
      <c r="B699" s="3">
        <v>44547</v>
      </c>
      <c r="C699" s="2" t="s">
        <v>4430</v>
      </c>
      <c r="D699" t="s">
        <v>6157</v>
      </c>
      <c r="E699" s="2">
        <v>3</v>
      </c>
      <c r="F699" s="2" t="str">
        <f>_xlfn.XLOOKUP(C699,customers!$A$1:$A$1001,customers!$B$1:$B$1001, ,0)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Middle</v>
      </c>
      <c r="P699" t="str">
        <f>_xlfn.XLOOKUP(Table1[[#This Row],[Customer ID]],customers!$A$1:$A$1001,customers!$I$1:$I$1001,,0)</f>
        <v>No</v>
      </c>
    </row>
    <row r="700" spans="1:16" x14ac:dyDescent="0.3">
      <c r="A700" s="2" t="s">
        <v>4433</v>
      </c>
      <c r="B700" s="3">
        <v>43830</v>
      </c>
      <c r="C700" s="2" t="s">
        <v>4434</v>
      </c>
      <c r="D700" t="s">
        <v>6143</v>
      </c>
      <c r="E700" s="2">
        <v>2</v>
      </c>
      <c r="F700" s="2" t="str">
        <f>_xlfn.XLOOKUP(C700,customers!$A$1:$A$1001,customers!$B$1:$B$1001, ,0)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ID]],customers!$A$1:$A$1001,customers!$I$1:$I$1001,,0)</f>
        <v>No</v>
      </c>
    </row>
    <row r="701" spans="1:16" x14ac:dyDescent="0.3">
      <c r="A701" s="2" t="s">
        <v>4439</v>
      </c>
      <c r="B701" s="3">
        <v>44298</v>
      </c>
      <c r="C701" s="2" t="s">
        <v>4440</v>
      </c>
      <c r="D701" t="s">
        <v>6158</v>
      </c>
      <c r="E701" s="2">
        <v>4</v>
      </c>
      <c r="F701" s="2" t="str">
        <f>_xlfn.XLOOKUP(C701,customers!$A$1:$A$1001,customers!$B$1:$B$1001, ,0)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_xlfn.XLOOKUP(C702,customers!$A$1:$A$1001,customers!$B$1:$B$1001, ,0)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_xlfn.XLOOKUP(C703,customers!$A$1:$A$1001,customers!$B$1:$B$1001, ,0)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_xlfn.XLOOKUP(C704,customers!$A$1:$A$1001,customers!$B$1:$B$1001, ,0)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_xlfn.XLOOKUP(C705,customers!$A$1:$A$1001,customers!$B$1:$B$1001, ,0)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_xlfn.XLOOKUP(C706,customers!$A$1:$A$1001,customers!$B$1:$B$1001, ,0)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_xlfn.XLOOKUP(C707,customers!$A$1:$A$1001,customers!$B$1:$B$1001, ,0)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IF(I707="Rob","Robusta",IF(I707="Ara","Arabica",IF(I707="Lib","Liberica",IF(I707="Exc","Excelsa",""))))</f>
        <v>Excelsa</v>
      </c>
      <c r="O707" t="str">
        <f t="shared" ref="O707:O770" si="35">IF(J707="M","Middle",IF(J707="L","Light",IF(J707="D","Dark","")))</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_xlfn.XLOOKUP(C708,customers!$A$1:$A$1001,customers!$B$1:$B$1001, ,0)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Middle</v>
      </c>
      <c r="P708" t="str">
        <f>_xlfn.XLOOKUP(Table1[[#This Row],[Customer ID]],customers!$A$1:$A$1001,customers!$I$1:$I$1001,,0)</f>
        <v>No</v>
      </c>
    </row>
    <row r="709" spans="1:16" x14ac:dyDescent="0.3">
      <c r="A709" s="2" t="s">
        <v>4483</v>
      </c>
      <c r="B709" s="3">
        <v>43540</v>
      </c>
      <c r="C709" s="2" t="s">
        <v>4484</v>
      </c>
      <c r="D709" t="s">
        <v>6143</v>
      </c>
      <c r="E709" s="2">
        <v>2</v>
      </c>
      <c r="F709" s="2" t="str">
        <f>_xlfn.XLOOKUP(C709,customers!$A$1:$A$1001,customers!$B$1:$B$1001, ,0)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ID]],customers!$A$1:$A$1001,customers!$I$1:$I$1001,,0)</f>
        <v>No</v>
      </c>
    </row>
    <row r="710" spans="1:16" x14ac:dyDescent="0.3">
      <c r="A710" s="2" t="s">
        <v>4488</v>
      </c>
      <c r="B710" s="3">
        <v>43804</v>
      </c>
      <c r="C710" s="2" t="s">
        <v>4489</v>
      </c>
      <c r="D710" t="s">
        <v>6157</v>
      </c>
      <c r="E710" s="2">
        <v>2</v>
      </c>
      <c r="F710" s="2" t="str">
        <f>_xlfn.XLOOKUP(C710,customers!$A$1:$A$1001,customers!$B$1:$B$1001, ,0)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Middle</v>
      </c>
      <c r="P710" t="str">
        <f>_xlfn.XLOOKUP(Table1[[#This Row],[Customer ID]],customers!$A$1:$A$1001,customers!$I$1:$I$1001,,0)</f>
        <v>Yes</v>
      </c>
    </row>
    <row r="711" spans="1:16" x14ac:dyDescent="0.3">
      <c r="A711" s="2" t="s">
        <v>4494</v>
      </c>
      <c r="B711" s="3">
        <v>43485</v>
      </c>
      <c r="C711" s="2" t="s">
        <v>4495</v>
      </c>
      <c r="D711" t="s">
        <v>6176</v>
      </c>
      <c r="E711" s="2">
        <v>2</v>
      </c>
      <c r="F711" s="2" t="str">
        <f>_xlfn.XLOOKUP(C711,customers!$A$1:$A$1001,customers!$B$1:$B$1001, ,0)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_xlfn.XLOOKUP(C712,customers!$A$1:$A$1001,customers!$B$1:$B$1001, ,0)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Middle</v>
      </c>
      <c r="P712" t="str">
        <f>_xlfn.XLOOKUP(Table1[[#This Row],[Customer ID]],customers!$A$1:$A$1001,customers!$I$1:$I$1001,,0)</f>
        <v>No</v>
      </c>
    </row>
    <row r="713" spans="1:16" x14ac:dyDescent="0.3">
      <c r="A713" s="2" t="s">
        <v>4505</v>
      </c>
      <c r="B713" s="3">
        <v>44600</v>
      </c>
      <c r="C713" s="2" t="s">
        <v>4506</v>
      </c>
      <c r="D713" t="s">
        <v>6174</v>
      </c>
      <c r="E713" s="2">
        <v>6</v>
      </c>
      <c r="F713" s="2" t="str">
        <f>_xlfn.XLOOKUP(C713,customers!$A$1:$A$1001,customers!$B$1:$B$1001, ,0)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Middle</v>
      </c>
      <c r="P713" t="str">
        <f>_xlfn.XLOOKUP(Table1[[#This Row],[Customer ID]],customers!$A$1:$A$1001,customers!$I$1:$I$1001,,0)</f>
        <v>No</v>
      </c>
    </row>
    <row r="714" spans="1:16" x14ac:dyDescent="0.3">
      <c r="A714" s="2" t="s">
        <v>4512</v>
      </c>
      <c r="B714" s="3">
        <v>43646</v>
      </c>
      <c r="C714" s="2" t="s">
        <v>4513</v>
      </c>
      <c r="D714" t="s">
        <v>6139</v>
      </c>
      <c r="E714" s="2">
        <v>2</v>
      </c>
      <c r="F714" s="2" t="str">
        <f>_xlfn.XLOOKUP(C714,customers!$A$1:$A$1001,customers!$B$1:$B$1001, ,0)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Middle</v>
      </c>
      <c r="P714" t="str">
        <f>_xlfn.XLOOKUP(Table1[[#This Row],[Customer ID]],customers!$A$1:$A$1001,customers!$I$1:$I$1001,,0)</f>
        <v>No</v>
      </c>
    </row>
    <row r="715" spans="1:16" x14ac:dyDescent="0.3">
      <c r="A715" s="2" t="s">
        <v>4516</v>
      </c>
      <c r="B715" s="3">
        <v>43960</v>
      </c>
      <c r="C715" s="2" t="s">
        <v>4517</v>
      </c>
      <c r="D715" t="s">
        <v>6174</v>
      </c>
      <c r="E715" s="2">
        <v>1</v>
      </c>
      <c r="F715" s="2" t="str">
        <f>_xlfn.XLOOKUP(C715,customers!$A$1:$A$1001,customers!$B$1:$B$1001, ,0)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Middle</v>
      </c>
      <c r="P715" t="str">
        <f>_xlfn.XLOOKUP(Table1[[#This Row],[Customer ID]],customers!$A$1:$A$1001,customers!$I$1:$I$1001,,0)</f>
        <v>No</v>
      </c>
    </row>
    <row r="716" spans="1:16" x14ac:dyDescent="0.3">
      <c r="A716" s="2" t="s">
        <v>4522</v>
      </c>
      <c r="B716" s="3">
        <v>44358</v>
      </c>
      <c r="C716" s="2" t="s">
        <v>4523</v>
      </c>
      <c r="D716" t="s">
        <v>6153</v>
      </c>
      <c r="E716" s="2">
        <v>4</v>
      </c>
      <c r="F716" s="2" t="str">
        <f>_xlfn.XLOOKUP(C716,customers!$A$1:$A$1001,customers!$B$1:$B$1001, ,0)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_xlfn.XLOOKUP(C717,customers!$A$1:$A$1001,customers!$B$1:$B$1001, ,0)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_xlfn.XLOOKUP(C718,customers!$A$1:$A$1001,customers!$B$1:$B$1001, ,0)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_xlfn.XLOOKUP(C719,customers!$A$1:$A$1001,customers!$B$1:$B$1001, ,0)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3">
      <c r="A720" s="2" t="s">
        <v>4545</v>
      </c>
      <c r="B720" s="3">
        <v>44348</v>
      </c>
      <c r="C720" s="2" t="s">
        <v>4546</v>
      </c>
      <c r="D720" t="s">
        <v>6143</v>
      </c>
      <c r="E720" s="2">
        <v>3</v>
      </c>
      <c r="F720" s="2" t="str">
        <f>_xlfn.XLOOKUP(C720,customers!$A$1:$A$1001,customers!$B$1:$B$1001, ,0)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3">
      <c r="A721" s="2" t="s">
        <v>4551</v>
      </c>
      <c r="B721" s="3">
        <v>44150</v>
      </c>
      <c r="C721" s="2" t="s">
        <v>4552</v>
      </c>
      <c r="D721" t="s">
        <v>6170</v>
      </c>
      <c r="E721" s="2">
        <v>5</v>
      </c>
      <c r="F721" s="2" t="str">
        <f>_xlfn.XLOOKUP(C721,customers!$A$1:$A$1001,customers!$B$1:$B$1001, ,0)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_xlfn.XLOOKUP(C722,customers!$A$1:$A$1001,customers!$B$1:$B$1001, ,0)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_xlfn.XLOOKUP(C723,customers!$A$1:$A$1001,customers!$B$1:$B$1001, ,0)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Middle</v>
      </c>
      <c r="P723" t="str">
        <f>_xlfn.XLOOKUP(Table1[[#This Row],[Customer ID]],customers!$A$1:$A$1001,customers!$I$1:$I$1001,,0)</f>
        <v>Yes</v>
      </c>
    </row>
    <row r="724" spans="1:16" x14ac:dyDescent="0.3">
      <c r="A724" s="2" t="s">
        <v>4569</v>
      </c>
      <c r="B724" s="3">
        <v>44620</v>
      </c>
      <c r="C724" s="2" t="s">
        <v>4570</v>
      </c>
      <c r="D724" t="s">
        <v>6183</v>
      </c>
      <c r="E724" s="2">
        <v>2</v>
      </c>
      <c r="F724" s="2" t="str">
        <f>_xlfn.XLOOKUP(C724,customers!$A$1:$A$1001,customers!$B$1:$B$1001, ,0)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ID]],customers!$A$1:$A$1001,customers!$I$1:$I$1001,,0)</f>
        <v>No</v>
      </c>
    </row>
    <row r="725" spans="1:16" x14ac:dyDescent="0.3">
      <c r="A725" s="2" t="s">
        <v>4574</v>
      </c>
      <c r="B725" s="3">
        <v>44470</v>
      </c>
      <c r="C725" s="2" t="s">
        <v>4575</v>
      </c>
      <c r="D725" t="s">
        <v>6166</v>
      </c>
      <c r="E725" s="2">
        <v>2</v>
      </c>
      <c r="F725" s="2" t="str">
        <f>_xlfn.XLOOKUP(C725,customers!$A$1:$A$1001,customers!$B$1:$B$1001, ,0)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Middle</v>
      </c>
      <c r="P725" t="str">
        <f>_xlfn.XLOOKUP(Table1[[#This Row],[Customer ID]],customers!$A$1:$A$1001,customers!$I$1:$I$1001,,0)</f>
        <v>No</v>
      </c>
    </row>
    <row r="726" spans="1:16" x14ac:dyDescent="0.3">
      <c r="A726" s="2" t="s">
        <v>4580</v>
      </c>
      <c r="B726" s="3">
        <v>44076</v>
      </c>
      <c r="C726" s="2" t="s">
        <v>4581</v>
      </c>
      <c r="D726" t="s">
        <v>6152</v>
      </c>
      <c r="E726" s="2">
        <v>2</v>
      </c>
      <c r="F726" s="2" t="str">
        <f>_xlfn.XLOOKUP(C726,customers!$A$1:$A$1001,customers!$B$1:$B$1001, ,0)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Middle</v>
      </c>
      <c r="P726" t="str">
        <f>_xlfn.XLOOKUP(Table1[[#This Row],[Customer ID]],customers!$A$1:$A$1001,customers!$I$1:$I$1001,,0)</f>
        <v>Yes</v>
      </c>
    </row>
    <row r="727" spans="1:16" x14ac:dyDescent="0.3">
      <c r="A727" s="2" t="s">
        <v>4585</v>
      </c>
      <c r="B727" s="3">
        <v>44043</v>
      </c>
      <c r="C727" s="2" t="s">
        <v>4586</v>
      </c>
      <c r="D727" t="s">
        <v>6167</v>
      </c>
      <c r="E727" s="2">
        <v>6</v>
      </c>
      <c r="F727" s="2" t="str">
        <f>_xlfn.XLOOKUP(C727,customers!$A$1:$A$1001,customers!$B$1:$B$1001, ,0)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_xlfn.XLOOKUP(C728,customers!$A$1:$A$1001,customers!$B$1:$B$1001, ,0)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_xlfn.XLOOKUP(C729,customers!$A$1:$A$1001,customers!$B$1:$B$1001, ,0)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Middle</v>
      </c>
      <c r="P729" t="str">
        <f>_xlfn.XLOOKUP(Table1[[#This Row],[Customer ID]],customers!$A$1:$A$1001,customers!$I$1:$I$1001,,0)</f>
        <v>Yes</v>
      </c>
    </row>
    <row r="730" spans="1:16" x14ac:dyDescent="0.3">
      <c r="A730" s="2" t="s">
        <v>4602</v>
      </c>
      <c r="B730" s="3">
        <v>44155</v>
      </c>
      <c r="C730" s="2" t="s">
        <v>4603</v>
      </c>
      <c r="D730" t="s">
        <v>6144</v>
      </c>
      <c r="E730" s="2">
        <v>3</v>
      </c>
      <c r="F730" s="2" t="str">
        <f>_xlfn.XLOOKUP(C730,customers!$A$1:$A$1001,customers!$B$1:$B$1001, ,0)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_xlfn.XLOOKUP(C731,customers!$A$1:$A$1001,customers!$B$1:$B$1001, ,0)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Middle</v>
      </c>
      <c r="P731" t="str">
        <f>_xlfn.XLOOKUP(Table1[[#This Row],[Customer ID]],customers!$A$1:$A$1001,customers!$I$1:$I$1001,,0)</f>
        <v>No</v>
      </c>
    </row>
    <row r="732" spans="1:16" x14ac:dyDescent="0.3">
      <c r="A732" s="2" t="s">
        <v>4614</v>
      </c>
      <c r="B732" s="3">
        <v>43475</v>
      </c>
      <c r="C732" s="2" t="s">
        <v>4615</v>
      </c>
      <c r="D732" t="s">
        <v>6164</v>
      </c>
      <c r="E732" s="2">
        <v>1</v>
      </c>
      <c r="F732" s="2" t="str">
        <f>_xlfn.XLOOKUP(C732,customers!$A$1:$A$1001,customers!$B$1:$B$1001, ,0)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_xlfn.XLOOKUP(C733,customers!$A$1:$A$1001,customers!$B$1:$B$1001, ,0)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_xlfn.XLOOKUP(C734,customers!$A$1:$A$1001,customers!$B$1:$B$1001, ,0)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_xlfn.XLOOKUP(C735,customers!$A$1:$A$1001,customers!$B$1:$B$1001, ,0)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Middle</v>
      </c>
      <c r="P735" t="str">
        <f>_xlfn.XLOOKUP(Table1[[#This Row],[Customer ID]],customers!$A$1:$A$1001,customers!$I$1:$I$1001,,0)</f>
        <v>Yes</v>
      </c>
    </row>
    <row r="736" spans="1:16" x14ac:dyDescent="0.3">
      <c r="A736" s="2" t="s">
        <v>4637</v>
      </c>
      <c r="B736" s="3">
        <v>43697</v>
      </c>
      <c r="C736" s="2" t="s">
        <v>4638</v>
      </c>
      <c r="D736" t="s">
        <v>6163</v>
      </c>
      <c r="E736" s="2">
        <v>5</v>
      </c>
      <c r="F736" s="2" t="str">
        <f>_xlfn.XLOOKUP(C736,customers!$A$1:$A$1001,customers!$B$1:$B$1001, ,0)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3">
      <c r="A737" s="2" t="s">
        <v>4642</v>
      </c>
      <c r="B737" s="3">
        <v>44757</v>
      </c>
      <c r="C737" s="2" t="s">
        <v>4643</v>
      </c>
      <c r="D737" t="s">
        <v>6153</v>
      </c>
      <c r="E737" s="2">
        <v>6</v>
      </c>
      <c r="F737" s="2" t="str">
        <f>_xlfn.XLOOKUP(C737,customers!$A$1:$A$1001,customers!$B$1:$B$1001, ,0)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ID]],customers!$A$1:$A$1001,customers!$I$1:$I$1001,,0)</f>
        <v>No</v>
      </c>
    </row>
    <row r="738" spans="1:16" x14ac:dyDescent="0.3">
      <c r="A738" s="2" t="s">
        <v>4647</v>
      </c>
      <c r="B738" s="3">
        <v>43508</v>
      </c>
      <c r="C738" s="2" t="s">
        <v>4648</v>
      </c>
      <c r="D738" t="s">
        <v>6143</v>
      </c>
      <c r="E738" s="2">
        <v>2</v>
      </c>
      <c r="F738" s="2" t="str">
        <f>_xlfn.XLOOKUP(C738,customers!$A$1:$A$1001,customers!$B$1:$B$1001, ,0)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_xlfn.XLOOKUP(C739,customers!$A$1:$A$1001,customers!$B$1:$B$1001, ,0)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Middle</v>
      </c>
      <c r="P739" t="str">
        <f>_xlfn.XLOOKUP(Table1[[#This Row],[Customer ID]],customers!$A$1:$A$1001,customers!$I$1:$I$1001,,0)</f>
        <v>No</v>
      </c>
    </row>
    <row r="740" spans="1:16" x14ac:dyDescent="0.3">
      <c r="A740" s="2" t="s">
        <v>4659</v>
      </c>
      <c r="B740" s="3">
        <v>43812</v>
      </c>
      <c r="C740" s="2" t="s">
        <v>4660</v>
      </c>
      <c r="D740" t="s">
        <v>6178</v>
      </c>
      <c r="E740" s="2">
        <v>3</v>
      </c>
      <c r="F740" s="2" t="str">
        <f>_xlfn.XLOOKUP(C740,customers!$A$1:$A$1001,customers!$B$1:$B$1001, ,0)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_xlfn.XLOOKUP(C741,customers!$A$1:$A$1001,customers!$B$1:$B$1001, ,0)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ID]],customers!$A$1:$A$1001,customers!$I$1:$I$1001,,0)</f>
        <v>No</v>
      </c>
    </row>
    <row r="742" spans="1:16" x14ac:dyDescent="0.3">
      <c r="A742" s="2" t="s">
        <v>4670</v>
      </c>
      <c r="B742" s="3">
        <v>44643</v>
      </c>
      <c r="C742" s="2" t="s">
        <v>4671</v>
      </c>
      <c r="D742" t="s">
        <v>6173</v>
      </c>
      <c r="E742" s="2">
        <v>4</v>
      </c>
      <c r="F742" s="2" t="str">
        <f>_xlfn.XLOOKUP(C742,customers!$A$1:$A$1001,customers!$B$1:$B$1001, ,0)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_xlfn.XLOOKUP(C743,customers!$A$1:$A$1001,customers!$B$1:$B$1001, ,0)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Middle</v>
      </c>
      <c r="P743" t="str">
        <f>_xlfn.XLOOKUP(Table1[[#This Row],[Customer ID]],customers!$A$1:$A$1001,customers!$I$1:$I$1001,,0)</f>
        <v>No</v>
      </c>
    </row>
    <row r="744" spans="1:16" x14ac:dyDescent="0.3">
      <c r="A744" s="2" t="s">
        <v>4682</v>
      </c>
      <c r="B744" s="3">
        <v>44133</v>
      </c>
      <c r="C744" s="2" t="s">
        <v>4683</v>
      </c>
      <c r="D744" t="s">
        <v>6162</v>
      </c>
      <c r="E744" s="2">
        <v>4</v>
      </c>
      <c r="F744" s="2" t="str">
        <f>_xlfn.XLOOKUP(C744,customers!$A$1:$A$1001,customers!$B$1:$B$1001, ,0)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Middle</v>
      </c>
      <c r="P744" t="str">
        <f>_xlfn.XLOOKUP(Table1[[#This Row],[Customer ID]],customers!$A$1:$A$1001,customers!$I$1:$I$1001,,0)</f>
        <v>No</v>
      </c>
    </row>
    <row r="745" spans="1:16" x14ac:dyDescent="0.3">
      <c r="A745" s="2" t="s">
        <v>4688</v>
      </c>
      <c r="B745" s="3">
        <v>44042</v>
      </c>
      <c r="C745" s="2" t="s">
        <v>4689</v>
      </c>
      <c r="D745" t="s">
        <v>6158</v>
      </c>
      <c r="E745" s="2">
        <v>3</v>
      </c>
      <c r="F745" s="2" t="str">
        <f>_xlfn.XLOOKUP(C745,customers!$A$1:$A$1001,customers!$B$1:$B$1001, ,0)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ID]],customers!$A$1:$A$1001,customers!$I$1:$I$1001,,0)</f>
        <v>No</v>
      </c>
    </row>
    <row r="746" spans="1:16" x14ac:dyDescent="0.3">
      <c r="A746" s="2" t="s">
        <v>4694</v>
      </c>
      <c r="B746" s="3">
        <v>43539</v>
      </c>
      <c r="C746" s="2" t="s">
        <v>4695</v>
      </c>
      <c r="D746" t="s">
        <v>6174</v>
      </c>
      <c r="E746" s="2">
        <v>6</v>
      </c>
      <c r="F746" s="2" t="str">
        <f>_xlfn.XLOOKUP(C746,customers!$A$1:$A$1001,customers!$B$1:$B$1001, ,0)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Middle</v>
      </c>
      <c r="P746" t="str">
        <f>_xlfn.XLOOKUP(Table1[[#This Row],[Customer ID]],customers!$A$1:$A$1001,customers!$I$1:$I$1001,,0)</f>
        <v>Yes</v>
      </c>
    </row>
    <row r="747" spans="1:16" x14ac:dyDescent="0.3">
      <c r="A747" s="2" t="s">
        <v>4699</v>
      </c>
      <c r="B747" s="3">
        <v>44557</v>
      </c>
      <c r="C747" s="2" t="s">
        <v>4700</v>
      </c>
      <c r="D747" t="s">
        <v>6144</v>
      </c>
      <c r="E747" s="2">
        <v>2</v>
      </c>
      <c r="F747" s="2" t="str">
        <f>_xlfn.XLOOKUP(C747,customers!$A$1:$A$1001,customers!$B$1:$B$1001, ,0)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ID]],customers!$A$1:$A$1001,customers!$I$1:$I$1001,,0)</f>
        <v>No</v>
      </c>
    </row>
    <row r="748" spans="1:16" x14ac:dyDescent="0.3">
      <c r="A748" s="2" t="s">
        <v>4705</v>
      </c>
      <c r="B748" s="3">
        <v>43741</v>
      </c>
      <c r="C748" s="2" t="s">
        <v>4706</v>
      </c>
      <c r="D748" t="s">
        <v>6155</v>
      </c>
      <c r="E748" s="2">
        <v>3</v>
      </c>
      <c r="F748" s="2" t="str">
        <f>_xlfn.XLOOKUP(C748,customers!$A$1:$A$1001,customers!$B$1:$B$1001, ,0)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Middle</v>
      </c>
      <c r="P748" t="str">
        <f>_xlfn.XLOOKUP(Table1[[#This Row],[Customer ID]],customers!$A$1:$A$1001,customers!$I$1:$I$1001,,0)</f>
        <v>No</v>
      </c>
    </row>
    <row r="749" spans="1:16" x14ac:dyDescent="0.3">
      <c r="A749" s="2" t="s">
        <v>4711</v>
      </c>
      <c r="B749" s="3">
        <v>43501</v>
      </c>
      <c r="C749" s="2" t="s">
        <v>4712</v>
      </c>
      <c r="D749" t="s">
        <v>6160</v>
      </c>
      <c r="E749" s="2">
        <v>4</v>
      </c>
      <c r="F749" s="2" t="str">
        <f>_xlfn.XLOOKUP(C749,customers!$A$1:$A$1001,customers!$B$1:$B$1001, ,0)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Middle</v>
      </c>
      <c r="P749" t="str">
        <f>_xlfn.XLOOKUP(Table1[[#This Row],[Customer ID]],customers!$A$1:$A$1001,customers!$I$1:$I$1001,,0)</f>
        <v>Yes</v>
      </c>
    </row>
    <row r="750" spans="1:16" x14ac:dyDescent="0.3">
      <c r="A750" s="2" t="s">
        <v>4717</v>
      </c>
      <c r="B750" s="3">
        <v>44074</v>
      </c>
      <c r="C750" s="2" t="s">
        <v>4718</v>
      </c>
      <c r="D750" t="s">
        <v>6144</v>
      </c>
      <c r="E750" s="2">
        <v>2</v>
      </c>
      <c r="F750" s="2" t="str">
        <f>_xlfn.XLOOKUP(C750,customers!$A$1:$A$1001,customers!$B$1:$B$1001, ,0)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ID]],customers!$A$1:$A$1001,customers!$I$1:$I$1001,,0)</f>
        <v>No</v>
      </c>
    </row>
    <row r="751" spans="1:16" x14ac:dyDescent="0.3">
      <c r="A751" s="2" t="s">
        <v>4723</v>
      </c>
      <c r="B751" s="3">
        <v>44209</v>
      </c>
      <c r="C751" s="2" t="s">
        <v>4724</v>
      </c>
      <c r="D751" t="s">
        <v>6163</v>
      </c>
      <c r="E751" s="2">
        <v>2</v>
      </c>
      <c r="F751" s="2" t="str">
        <f>_xlfn.XLOOKUP(C751,customers!$A$1:$A$1001,customers!$B$1:$B$1001, ,0)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_xlfn.XLOOKUP(C752,customers!$A$1:$A$1001,customers!$B$1:$B$1001, ,0)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Middle</v>
      </c>
      <c r="P752" t="str">
        <f>_xlfn.XLOOKUP(Table1[[#This Row],[Customer ID]],customers!$A$1:$A$1001,customers!$I$1:$I$1001,,0)</f>
        <v>Yes</v>
      </c>
    </row>
    <row r="753" spans="1:16" x14ac:dyDescent="0.3">
      <c r="A753" s="2" t="s">
        <v>4735</v>
      </c>
      <c r="B753" s="3">
        <v>43847</v>
      </c>
      <c r="C753" s="2" t="s">
        <v>4736</v>
      </c>
      <c r="D753" t="s">
        <v>6161</v>
      </c>
      <c r="E753" s="2">
        <v>2</v>
      </c>
      <c r="F753" s="2" t="str">
        <f>_xlfn.XLOOKUP(C753,customers!$A$1:$A$1001,customers!$B$1:$B$1001, ,0)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_xlfn.XLOOKUP(C754,customers!$A$1:$A$1001,customers!$B$1:$B$1001, ,0)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Middle</v>
      </c>
      <c r="P754" t="str">
        <f>_xlfn.XLOOKUP(Table1[[#This Row],[Customer ID]],customers!$A$1:$A$1001,customers!$I$1:$I$1001,,0)</f>
        <v>Yes</v>
      </c>
    </row>
    <row r="755" spans="1:16" x14ac:dyDescent="0.3">
      <c r="A755" s="2" t="s">
        <v>4747</v>
      </c>
      <c r="B755" s="3">
        <v>44704</v>
      </c>
      <c r="C755" s="2" t="s">
        <v>4748</v>
      </c>
      <c r="D755" t="s">
        <v>6158</v>
      </c>
      <c r="E755" s="2">
        <v>5</v>
      </c>
      <c r="F755" s="2" t="str">
        <f>_xlfn.XLOOKUP(C755,customers!$A$1:$A$1001,customers!$B$1:$B$1001, ,0)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ID]],customers!$A$1:$A$1001,customers!$I$1:$I$1001,,0)</f>
        <v>No</v>
      </c>
    </row>
    <row r="756" spans="1:16" x14ac:dyDescent="0.3">
      <c r="A756" s="2" t="s">
        <v>4753</v>
      </c>
      <c r="B756" s="3">
        <v>44726</v>
      </c>
      <c r="C756" s="2" t="s">
        <v>4434</v>
      </c>
      <c r="D756" t="s">
        <v>6154</v>
      </c>
      <c r="E756" s="2">
        <v>6</v>
      </c>
      <c r="F756" s="2" t="str">
        <f>_xlfn.XLOOKUP(C756,customers!$A$1:$A$1001,customers!$B$1:$B$1001, ,0)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ID]],customers!$A$1:$A$1001,customers!$I$1:$I$1001,,0)</f>
        <v>No</v>
      </c>
    </row>
    <row r="757" spans="1:16" x14ac:dyDescent="0.3">
      <c r="A757" s="2" t="s">
        <v>4758</v>
      </c>
      <c r="B757" s="3">
        <v>44397</v>
      </c>
      <c r="C757" s="2" t="s">
        <v>4759</v>
      </c>
      <c r="D757" t="s">
        <v>6145</v>
      </c>
      <c r="E757" s="2">
        <v>6</v>
      </c>
      <c r="F757" s="2" t="str">
        <f>_xlfn.XLOOKUP(C757,customers!$A$1:$A$1001,customers!$B$1:$B$1001, ,0)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_xlfn.XLOOKUP(C758,customers!$A$1:$A$1001,customers!$B$1:$B$1001, ,0)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_xlfn.XLOOKUP(C759,customers!$A$1:$A$1001,customers!$B$1:$B$1001, ,0)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_xlfn.XLOOKUP(C760,customers!$A$1:$A$1001,customers!$B$1:$B$1001, ,0)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3">
      <c r="A761" s="2" t="s">
        <v>4781</v>
      </c>
      <c r="B761" s="3">
        <v>44126</v>
      </c>
      <c r="C761" s="2" t="s">
        <v>4782</v>
      </c>
      <c r="D761" t="s">
        <v>6165</v>
      </c>
      <c r="E761" s="2">
        <v>1</v>
      </c>
      <c r="F761" s="2" t="str">
        <f>_xlfn.XLOOKUP(C761,customers!$A$1:$A$1001,customers!$B$1:$B$1001, ,0)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_xlfn.XLOOKUP(C762,customers!$A$1:$A$1001,customers!$B$1:$B$1001, ,0)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_xlfn.XLOOKUP(C763,customers!$A$1:$A$1001,customers!$B$1:$B$1001, ,0)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_xlfn.XLOOKUP(C764,customers!$A$1:$A$1001,customers!$B$1:$B$1001, ,0)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Middle</v>
      </c>
      <c r="P764" t="str">
        <f>_xlfn.XLOOKUP(Table1[[#This Row],[Customer ID]],customers!$A$1:$A$1001,customers!$I$1:$I$1001,,0)</f>
        <v>No</v>
      </c>
    </row>
    <row r="765" spans="1:16" x14ac:dyDescent="0.3">
      <c r="A765" s="2" t="s">
        <v>4803</v>
      </c>
      <c r="B765" s="3">
        <v>44587</v>
      </c>
      <c r="C765" s="2" t="s">
        <v>4804</v>
      </c>
      <c r="D765" t="s">
        <v>6180</v>
      </c>
      <c r="E765" s="2">
        <v>3</v>
      </c>
      <c r="F765" s="2" t="str">
        <f>_xlfn.XLOOKUP(C765,customers!$A$1:$A$1001,customers!$B$1:$B$1001, ,0)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_xlfn.XLOOKUP(C766,customers!$A$1:$A$1001,customers!$B$1:$B$1001, ,0)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_xlfn.XLOOKUP(C767,customers!$A$1:$A$1001,customers!$B$1:$B$1001, ,0)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Middle</v>
      </c>
      <c r="P767" t="str">
        <f>_xlfn.XLOOKUP(Table1[[#This Row],[Customer ID]],customers!$A$1:$A$1001,customers!$I$1:$I$1001,,0)</f>
        <v>Yes</v>
      </c>
    </row>
    <row r="768" spans="1:16" x14ac:dyDescent="0.3">
      <c r="A768" s="2" t="s">
        <v>4814</v>
      </c>
      <c r="B768" s="3">
        <v>43667</v>
      </c>
      <c r="C768" s="2" t="s">
        <v>4815</v>
      </c>
      <c r="D768" t="s">
        <v>6180</v>
      </c>
      <c r="E768" s="2">
        <v>2</v>
      </c>
      <c r="F768" s="2" t="str">
        <f>_xlfn.XLOOKUP(C768,customers!$A$1:$A$1001,customers!$B$1:$B$1001, ,0)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_xlfn.XLOOKUP(C769,customers!$A$1:$A$1001,customers!$B$1:$B$1001, ,0)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_xlfn.XLOOKUP(C770,customers!$A$1:$A$1001,customers!$B$1:$B$1001, ,0)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_xlfn.XLOOKUP(C771,customers!$A$1:$A$1001,customers!$B$1:$B$1001, ,0)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IF(I771="Rob","Robusta",IF(I771="Ara","Arabica",IF(I771="Lib","Liberica",IF(I771="Exc","Excelsa",""))))</f>
        <v>Robusta</v>
      </c>
      <c r="O771" t="str">
        <f t="shared" ref="O771:O834" si="38">IF(J771="M","Middle",IF(J771="L","Light",IF(J771="D","Dark","")))</f>
        <v>Middle</v>
      </c>
      <c r="P771" t="str">
        <f>_xlfn.XLOOKUP(Table1[[#This Row],[Customer ID]],customers!$A$1:$A$1001,customers!$I$1:$I$1001,,0)</f>
        <v>No</v>
      </c>
    </row>
    <row r="772" spans="1:16" x14ac:dyDescent="0.3">
      <c r="A772" s="2" t="s">
        <v>4842</v>
      </c>
      <c r="B772" s="3">
        <v>44092</v>
      </c>
      <c r="C772" s="2" t="s">
        <v>4843</v>
      </c>
      <c r="D772" t="s">
        <v>6147</v>
      </c>
      <c r="E772" s="2">
        <v>1</v>
      </c>
      <c r="F772" s="2" t="str">
        <f>_xlfn.XLOOKUP(C772,customers!$A$1:$A$1001,customers!$B$1:$B$1001, ,0)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3">
      <c r="A773" s="2" t="s">
        <v>4847</v>
      </c>
      <c r="B773" s="3">
        <v>43468</v>
      </c>
      <c r="C773" s="2" t="s">
        <v>4848</v>
      </c>
      <c r="D773" t="s">
        <v>6173</v>
      </c>
      <c r="E773" s="2">
        <v>3</v>
      </c>
      <c r="F773" s="2" t="str">
        <f>_xlfn.XLOOKUP(C773,customers!$A$1:$A$1001,customers!$B$1:$B$1001, ,0)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_xlfn.XLOOKUP(C774,customers!$A$1:$A$1001,customers!$B$1:$B$1001, ,0)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Middle</v>
      </c>
      <c r="P774" t="str">
        <f>_xlfn.XLOOKUP(Table1[[#This Row],[Customer ID]],customers!$A$1:$A$1001,customers!$I$1:$I$1001,,0)</f>
        <v>No</v>
      </c>
    </row>
    <row r="775" spans="1:16" x14ac:dyDescent="0.3">
      <c r="A775" s="2" t="s">
        <v>4858</v>
      </c>
      <c r="B775" s="3">
        <v>44488</v>
      </c>
      <c r="C775" s="2" t="s">
        <v>4859</v>
      </c>
      <c r="D775" t="s">
        <v>6159</v>
      </c>
      <c r="E775" s="2">
        <v>2</v>
      </c>
      <c r="F775" s="2" t="str">
        <f>_xlfn.XLOOKUP(C775,customers!$A$1:$A$1001,customers!$B$1:$B$1001, ,0)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Middle</v>
      </c>
      <c r="P775" t="str">
        <f>_xlfn.XLOOKUP(Table1[[#This Row],[Customer ID]],customers!$A$1:$A$1001,customers!$I$1:$I$1001,,0)</f>
        <v>No</v>
      </c>
    </row>
    <row r="776" spans="1:16" x14ac:dyDescent="0.3">
      <c r="A776" s="2" t="s">
        <v>4864</v>
      </c>
      <c r="B776" s="3">
        <v>44756</v>
      </c>
      <c r="C776" s="2" t="s">
        <v>4865</v>
      </c>
      <c r="D776" t="s">
        <v>6138</v>
      </c>
      <c r="E776" s="2">
        <v>2</v>
      </c>
      <c r="F776" s="2" t="str">
        <f>_xlfn.XLOOKUP(C776,customers!$A$1:$A$1001,customers!$B$1:$B$1001, ,0)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Middle</v>
      </c>
      <c r="P776" t="str">
        <f>_xlfn.XLOOKUP(Table1[[#This Row],[Customer ID]],customers!$A$1:$A$1001,customers!$I$1:$I$1001,,0)</f>
        <v>Yes</v>
      </c>
    </row>
    <row r="777" spans="1:16" x14ac:dyDescent="0.3">
      <c r="A777" s="2" t="s">
        <v>4869</v>
      </c>
      <c r="B777" s="3">
        <v>44396</v>
      </c>
      <c r="C777" s="2" t="s">
        <v>4870</v>
      </c>
      <c r="D777" t="s">
        <v>6176</v>
      </c>
      <c r="E777" s="2">
        <v>2</v>
      </c>
      <c r="F777" s="2" t="str">
        <f>_xlfn.XLOOKUP(C777,customers!$A$1:$A$1001,customers!$B$1:$B$1001, ,0)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_xlfn.XLOOKUP(C778,customers!$A$1:$A$1001,customers!$B$1:$B$1001, ,0)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Middle</v>
      </c>
      <c r="P778" t="str">
        <f>_xlfn.XLOOKUP(Table1[[#This Row],[Customer ID]],customers!$A$1:$A$1001,customers!$I$1:$I$1001,,0)</f>
        <v>No</v>
      </c>
    </row>
    <row r="779" spans="1:16" x14ac:dyDescent="0.3">
      <c r="A779" s="2" t="s">
        <v>4881</v>
      </c>
      <c r="B779" s="3">
        <v>43541</v>
      </c>
      <c r="C779" s="2" t="s">
        <v>4882</v>
      </c>
      <c r="D779" t="s">
        <v>6182</v>
      </c>
      <c r="E779" s="2">
        <v>2</v>
      </c>
      <c r="F779" s="2" t="str">
        <f>_xlfn.XLOOKUP(C779,customers!$A$1:$A$1001,customers!$B$1:$B$1001, ,0)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_xlfn.XLOOKUP(C780,customers!$A$1:$A$1001,customers!$B$1:$B$1001, ,0)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_xlfn.XLOOKUP(C781,customers!$A$1:$A$1001,customers!$B$1:$B$1001, ,0)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_xlfn.XLOOKUP(C782,customers!$A$1:$A$1001,customers!$B$1:$B$1001, ,0)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Middle</v>
      </c>
      <c r="P782" t="str">
        <f>_xlfn.XLOOKUP(Table1[[#This Row],[Customer ID]],customers!$A$1:$A$1001,customers!$I$1:$I$1001,,0)</f>
        <v>No</v>
      </c>
    </row>
    <row r="783" spans="1:16" x14ac:dyDescent="0.3">
      <c r="A783" s="2" t="s">
        <v>4903</v>
      </c>
      <c r="B783" s="3">
        <v>43778</v>
      </c>
      <c r="C783" s="2" t="s">
        <v>4904</v>
      </c>
      <c r="D783" t="s">
        <v>6164</v>
      </c>
      <c r="E783" s="2">
        <v>4</v>
      </c>
      <c r="F783" s="2" t="str">
        <f>_xlfn.XLOOKUP(C783,customers!$A$1:$A$1001,customers!$B$1:$B$1001, ,0)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_xlfn.XLOOKUP(C784,customers!$A$1:$A$1001,customers!$B$1:$B$1001, ,0)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_xlfn.XLOOKUP(C785,customers!$A$1:$A$1001,customers!$B$1:$B$1001, ,0)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Middle</v>
      </c>
      <c r="P785" t="str">
        <f>_xlfn.XLOOKUP(Table1[[#This Row],[Customer ID]],customers!$A$1:$A$1001,customers!$I$1:$I$1001,,0)</f>
        <v>Yes</v>
      </c>
    </row>
    <row r="786" spans="1:16" x14ac:dyDescent="0.3">
      <c r="A786" s="2" t="s">
        <v>4921</v>
      </c>
      <c r="B786" s="3">
        <v>44511</v>
      </c>
      <c r="C786" s="2" t="s">
        <v>4922</v>
      </c>
      <c r="D786" t="s">
        <v>6170</v>
      </c>
      <c r="E786" s="2">
        <v>2</v>
      </c>
      <c r="F786" s="2" t="str">
        <f>_xlfn.XLOOKUP(C786,customers!$A$1:$A$1001,customers!$B$1:$B$1001, ,0)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_xlfn.XLOOKUP(C787,customers!$A$1:$A$1001,customers!$B$1:$B$1001, ,0)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3">
      <c r="A788" s="2" t="s">
        <v>4932</v>
      </c>
      <c r="B788" s="3">
        <v>43888</v>
      </c>
      <c r="C788" s="2" t="s">
        <v>4933</v>
      </c>
      <c r="D788" t="s">
        <v>6185</v>
      </c>
      <c r="E788" s="2">
        <v>1</v>
      </c>
      <c r="F788" s="2" t="str">
        <f>_xlfn.XLOOKUP(C788,customers!$A$1:$A$1001,customers!$B$1:$B$1001, ,0)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_xlfn.XLOOKUP(C789,customers!$A$1:$A$1001,customers!$B$1:$B$1001, ,0)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Middle</v>
      </c>
      <c r="P789" t="str">
        <f>_xlfn.XLOOKUP(Table1[[#This Row],[Customer ID]],customers!$A$1:$A$1001,customers!$I$1:$I$1001,,0)</f>
        <v>Yes</v>
      </c>
    </row>
    <row r="790" spans="1:16" x14ac:dyDescent="0.3">
      <c r="A790" s="2" t="s">
        <v>4943</v>
      </c>
      <c r="B790" s="3">
        <v>44771</v>
      </c>
      <c r="C790" s="2" t="s">
        <v>4944</v>
      </c>
      <c r="D790" t="s">
        <v>6151</v>
      </c>
      <c r="E790" s="2">
        <v>2</v>
      </c>
      <c r="F790" s="2" t="str">
        <f>_xlfn.XLOOKUP(C790,customers!$A$1:$A$1001,customers!$B$1:$B$1001, ,0)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Middle</v>
      </c>
      <c r="P790" t="str">
        <f>_xlfn.XLOOKUP(Table1[[#This Row],[Customer ID]],customers!$A$1:$A$1001,customers!$I$1:$I$1001,,0)</f>
        <v>Yes</v>
      </c>
    </row>
    <row r="791" spans="1:16" x14ac:dyDescent="0.3">
      <c r="A791" s="2" t="s">
        <v>4949</v>
      </c>
      <c r="B791" s="3">
        <v>43485</v>
      </c>
      <c r="C791" s="2" t="s">
        <v>4950</v>
      </c>
      <c r="D791" t="s">
        <v>6140</v>
      </c>
      <c r="E791" s="2">
        <v>6</v>
      </c>
      <c r="F791" s="2" t="str">
        <f>_xlfn.XLOOKUP(C791,customers!$A$1:$A$1001,customers!$B$1:$B$1001, ,0)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_xlfn.XLOOKUP(C792,customers!$A$1:$A$1001,customers!$B$1:$B$1001, ,0)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_xlfn.XLOOKUP(C793,customers!$A$1:$A$1001,customers!$B$1:$B$1001, ,0)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_xlfn.XLOOKUP(C794,customers!$A$1:$A$1001,customers!$B$1:$B$1001, ,0)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Middle</v>
      </c>
      <c r="P794" t="str">
        <f>_xlfn.XLOOKUP(Table1[[#This Row],[Customer ID]],customers!$A$1:$A$1001,customers!$I$1:$I$1001,,0)</f>
        <v>Yes</v>
      </c>
    </row>
    <row r="795" spans="1:16" x14ac:dyDescent="0.3">
      <c r="A795" s="2" t="s">
        <v>4973</v>
      </c>
      <c r="B795" s="3">
        <v>43629</v>
      </c>
      <c r="C795" s="2" t="s">
        <v>4974</v>
      </c>
      <c r="D795" t="s">
        <v>6178</v>
      </c>
      <c r="E795" s="2">
        <v>5</v>
      </c>
      <c r="F795" s="2" t="str">
        <f>_xlfn.XLOOKUP(C795,customers!$A$1:$A$1001,customers!$B$1:$B$1001, ,0)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_xlfn.XLOOKUP(C796,customers!$A$1:$A$1001,customers!$B$1:$B$1001, ,0)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_xlfn.XLOOKUP(C797,customers!$A$1:$A$1001,customers!$B$1:$B$1001, ,0)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_xlfn.XLOOKUP(C798,customers!$A$1:$A$1001,customers!$B$1:$B$1001, ,0)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_xlfn.XLOOKUP(C799,customers!$A$1:$A$1001,customers!$B$1:$B$1001, ,0)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_xlfn.XLOOKUP(C800,customers!$A$1:$A$1001,customers!$B$1:$B$1001, ,0)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_xlfn.XLOOKUP(C801,customers!$A$1:$A$1001,customers!$B$1:$B$1001, ,0)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_xlfn.XLOOKUP(C802,customers!$A$1:$A$1001,customers!$B$1:$B$1001, ,0)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ID]],customers!$A$1:$A$1001,customers!$I$1:$I$1001,,0)</f>
        <v>No</v>
      </c>
    </row>
    <row r="803" spans="1:16" x14ac:dyDescent="0.3">
      <c r="A803" s="2" t="s">
        <v>5018</v>
      </c>
      <c r="B803" s="3">
        <v>44025</v>
      </c>
      <c r="C803" s="2" t="s">
        <v>5019</v>
      </c>
      <c r="D803" t="s">
        <v>6149</v>
      </c>
      <c r="E803" s="2">
        <v>2</v>
      </c>
      <c r="F803" s="2" t="str">
        <f>_xlfn.XLOOKUP(C803,customers!$A$1:$A$1001,customers!$B$1:$B$1001, ,0)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_xlfn.XLOOKUP(C804,customers!$A$1:$A$1001,customers!$B$1:$B$1001, ,0)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3">
      <c r="A805" s="2" t="s">
        <v>5030</v>
      </c>
      <c r="B805" s="3">
        <v>43955</v>
      </c>
      <c r="C805" s="2" t="s">
        <v>5031</v>
      </c>
      <c r="D805" t="s">
        <v>6166</v>
      </c>
      <c r="E805" s="2">
        <v>4</v>
      </c>
      <c r="F805" s="2" t="str">
        <f>_xlfn.XLOOKUP(C805,customers!$A$1:$A$1001,customers!$B$1:$B$1001, ,0)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Middle</v>
      </c>
      <c r="P805" t="str">
        <f>_xlfn.XLOOKUP(Table1[[#This Row],[Customer ID]],customers!$A$1:$A$1001,customers!$I$1:$I$1001,,0)</f>
        <v>No</v>
      </c>
    </row>
    <row r="806" spans="1:16" x14ac:dyDescent="0.3">
      <c r="A806" s="2" t="s">
        <v>5035</v>
      </c>
      <c r="B806" s="3">
        <v>44289</v>
      </c>
      <c r="C806" s="2" t="s">
        <v>5036</v>
      </c>
      <c r="D806" t="s">
        <v>6179</v>
      </c>
      <c r="E806" s="2">
        <v>2</v>
      </c>
      <c r="F806" s="2" t="str">
        <f>_xlfn.XLOOKUP(C806,customers!$A$1:$A$1001,customers!$B$1:$B$1001, ,0)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_xlfn.XLOOKUP(C807,customers!$A$1:$A$1001,customers!$B$1:$B$1001, ,0)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Middle</v>
      </c>
      <c r="P807" t="str">
        <f>_xlfn.XLOOKUP(Table1[[#This Row],[Customer ID]],customers!$A$1:$A$1001,customers!$I$1:$I$1001,,0)</f>
        <v>No</v>
      </c>
    </row>
    <row r="808" spans="1:16" x14ac:dyDescent="0.3">
      <c r="A808" s="2" t="s">
        <v>5046</v>
      </c>
      <c r="B808" s="3">
        <v>44241</v>
      </c>
      <c r="C808" s="2" t="s">
        <v>5047</v>
      </c>
      <c r="D808" t="s">
        <v>6150</v>
      </c>
      <c r="E808" s="2">
        <v>2</v>
      </c>
      <c r="F808" s="2" t="str">
        <f>_xlfn.XLOOKUP(C808,customers!$A$1:$A$1001,customers!$B$1:$B$1001, ,0)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_xlfn.XLOOKUP(C809,customers!$A$1:$A$1001,customers!$B$1:$B$1001, ,0)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ID]],customers!$A$1:$A$1001,customers!$I$1:$I$1001,,0)</f>
        <v>No</v>
      </c>
    </row>
    <row r="810" spans="1:16" x14ac:dyDescent="0.3">
      <c r="A810" s="2" t="s">
        <v>5056</v>
      </c>
      <c r="B810" s="3">
        <v>43868</v>
      </c>
      <c r="C810" s="2" t="s">
        <v>5113</v>
      </c>
      <c r="D810" t="s">
        <v>6142</v>
      </c>
      <c r="E810" s="2">
        <v>5</v>
      </c>
      <c r="F810" s="2" t="str">
        <f>_xlfn.XLOOKUP(C810,customers!$A$1:$A$1001,customers!$B$1:$B$1001, ,0)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_xlfn.XLOOKUP(C811,customers!$A$1:$A$1001,customers!$B$1:$B$1001, ,0)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_xlfn.XLOOKUP(C812,customers!$A$1:$A$1001,customers!$B$1:$B$1001, ,0)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_xlfn.XLOOKUP(C813,customers!$A$1:$A$1001,customers!$B$1:$B$1001, ,0)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Middle</v>
      </c>
      <c r="P813" t="str">
        <f>_xlfn.XLOOKUP(Table1[[#This Row],[Customer ID]],customers!$A$1:$A$1001,customers!$I$1:$I$1001,,0)</f>
        <v>Yes</v>
      </c>
    </row>
    <row r="814" spans="1:16" x14ac:dyDescent="0.3">
      <c r="A814" s="2" t="s">
        <v>5073</v>
      </c>
      <c r="B814" s="3">
        <v>44114</v>
      </c>
      <c r="C814" s="2" t="s">
        <v>5074</v>
      </c>
      <c r="D814" t="s">
        <v>6165</v>
      </c>
      <c r="E814" s="2">
        <v>6</v>
      </c>
      <c r="F814" s="2" t="str">
        <f>_xlfn.XLOOKUP(C814,customers!$A$1:$A$1001,customers!$B$1:$B$1001, ,0)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_xlfn.XLOOKUP(C815,customers!$A$1:$A$1001,customers!$B$1:$B$1001, ,0)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Middle</v>
      </c>
      <c r="P815" t="str">
        <f>_xlfn.XLOOKUP(Table1[[#This Row],[Customer ID]],customers!$A$1:$A$1001,customers!$I$1:$I$1001,,0)</f>
        <v>Yes</v>
      </c>
    </row>
    <row r="816" spans="1:16" x14ac:dyDescent="0.3">
      <c r="A816" s="2" t="s">
        <v>5090</v>
      </c>
      <c r="B816" s="3">
        <v>43573</v>
      </c>
      <c r="C816" s="2" t="s">
        <v>5091</v>
      </c>
      <c r="D816" t="s">
        <v>6184</v>
      </c>
      <c r="E816" s="2">
        <v>2</v>
      </c>
      <c r="F816" s="2" t="str">
        <f>_xlfn.XLOOKUP(C816,customers!$A$1:$A$1001,customers!$B$1:$B$1001, ,0)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_xlfn.XLOOKUP(C817,customers!$A$1:$A$1001,customers!$B$1:$B$1001, ,0)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Middle</v>
      </c>
      <c r="P817" t="str">
        <f>_xlfn.XLOOKUP(Table1[[#This Row],[Customer ID]],customers!$A$1:$A$1001,customers!$I$1:$I$1001,,0)</f>
        <v>No</v>
      </c>
    </row>
    <row r="818" spans="1:16" x14ac:dyDescent="0.3">
      <c r="A818" s="2" t="s">
        <v>5102</v>
      </c>
      <c r="B818" s="3">
        <v>43534</v>
      </c>
      <c r="C818" s="2" t="s">
        <v>5103</v>
      </c>
      <c r="D818" t="s">
        <v>6161</v>
      </c>
      <c r="E818" s="2">
        <v>4</v>
      </c>
      <c r="F818" s="2" t="str">
        <f>_xlfn.XLOOKUP(C818,customers!$A$1:$A$1001,customers!$B$1:$B$1001, ,0)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_xlfn.XLOOKUP(C819,customers!$A$1:$A$1001,customers!$B$1:$B$1001, ,0)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ID]],customers!$A$1:$A$1001,customers!$I$1:$I$1001,,0)</f>
        <v>No</v>
      </c>
    </row>
    <row r="820" spans="1:16" x14ac:dyDescent="0.3">
      <c r="A820" s="2" t="s">
        <v>5112</v>
      </c>
      <c r="B820" s="3">
        <v>44761</v>
      </c>
      <c r="C820" s="2" t="s">
        <v>5113</v>
      </c>
      <c r="D820" t="s">
        <v>6170</v>
      </c>
      <c r="E820" s="2">
        <v>5</v>
      </c>
      <c r="F820" s="2" t="str">
        <f>_xlfn.XLOOKUP(C820,customers!$A$1:$A$1001,customers!$B$1:$B$1001, ,0)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_xlfn.XLOOKUP(C821,customers!$A$1:$A$1001,customers!$B$1:$B$1001, ,0)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_xlfn.XLOOKUP(C822,customers!$A$1:$A$1001,customers!$B$1:$B$1001, ,0)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Middle</v>
      </c>
      <c r="P822" t="str">
        <f>_xlfn.XLOOKUP(Table1[[#This Row],[Customer ID]],customers!$A$1:$A$1001,customers!$I$1:$I$1001,,0)</f>
        <v>Yes</v>
      </c>
    </row>
    <row r="823" spans="1:16" x14ac:dyDescent="0.3">
      <c r="A823" s="2" t="s">
        <v>5129</v>
      </c>
      <c r="B823" s="3">
        <v>44144</v>
      </c>
      <c r="C823" s="2" t="s">
        <v>5130</v>
      </c>
      <c r="D823" t="s">
        <v>6172</v>
      </c>
      <c r="E823" s="2">
        <v>5</v>
      </c>
      <c r="F823" s="2" t="str">
        <f>_xlfn.XLOOKUP(C823,customers!$A$1:$A$1001,customers!$B$1:$B$1001, ,0)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3">
      <c r="A824" s="2" t="s">
        <v>5135</v>
      </c>
      <c r="B824" s="3">
        <v>43585</v>
      </c>
      <c r="C824" s="2" t="s">
        <v>5136</v>
      </c>
      <c r="D824" t="s">
        <v>6148</v>
      </c>
      <c r="E824" s="2">
        <v>4</v>
      </c>
      <c r="F824" s="2" t="str">
        <f>_xlfn.XLOOKUP(C824,customers!$A$1:$A$1001,customers!$B$1:$B$1001, ,0)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_xlfn.XLOOKUP(C825,customers!$A$1:$A$1001,customers!$B$1:$B$1001, ,0)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_xlfn.XLOOKUP(C826,customers!$A$1:$A$1001,customers!$B$1:$B$1001, ,0)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Middle</v>
      </c>
      <c r="P826" t="str">
        <f>_xlfn.XLOOKUP(Table1[[#This Row],[Customer ID]],customers!$A$1:$A$1001,customers!$I$1:$I$1001,,0)</f>
        <v>Yes</v>
      </c>
    </row>
    <row r="827" spans="1:16" x14ac:dyDescent="0.3">
      <c r="A827" s="2" t="s">
        <v>5152</v>
      </c>
      <c r="B827" s="3">
        <v>44603</v>
      </c>
      <c r="C827" s="2" t="s">
        <v>5188</v>
      </c>
      <c r="D827" t="s">
        <v>6147</v>
      </c>
      <c r="E827" s="2">
        <v>3</v>
      </c>
      <c r="F827" s="2" t="str">
        <f>_xlfn.XLOOKUP(C827,customers!$A$1:$A$1001,customers!$B$1:$B$1001, ,0)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_xlfn.XLOOKUP(C828,customers!$A$1:$A$1001,customers!$B$1:$B$1001, ,0)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Middle</v>
      </c>
      <c r="P828" t="str">
        <f>_xlfn.XLOOKUP(Table1[[#This Row],[Customer ID]],customers!$A$1:$A$1001,customers!$I$1:$I$1001,,0)</f>
        <v>Yes</v>
      </c>
    </row>
    <row r="829" spans="1:16" x14ac:dyDescent="0.3">
      <c r="A829" s="2" t="s">
        <v>5164</v>
      </c>
      <c r="B829" s="3">
        <v>44540</v>
      </c>
      <c r="C829" s="2" t="s">
        <v>5165</v>
      </c>
      <c r="D829" t="s">
        <v>6156</v>
      </c>
      <c r="E829" s="2">
        <v>5</v>
      </c>
      <c r="F829" s="2" t="str">
        <f>_xlfn.XLOOKUP(C829,customers!$A$1:$A$1001,customers!$B$1:$B$1001, ,0)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Middle</v>
      </c>
      <c r="P829" t="str">
        <f>_xlfn.XLOOKUP(Table1[[#This Row],[Customer ID]],customers!$A$1:$A$1001,customers!$I$1:$I$1001,,0)</f>
        <v>No</v>
      </c>
    </row>
    <row r="830" spans="1:16" x14ac:dyDescent="0.3">
      <c r="A830" s="2" t="s">
        <v>5170</v>
      </c>
      <c r="B830" s="3">
        <v>44505</v>
      </c>
      <c r="C830" s="2" t="s">
        <v>5171</v>
      </c>
      <c r="D830" t="s">
        <v>6168</v>
      </c>
      <c r="E830" s="2">
        <v>6</v>
      </c>
      <c r="F830" s="2" t="str">
        <f>_xlfn.XLOOKUP(C830,customers!$A$1:$A$1001,customers!$B$1:$B$1001, ,0)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_xlfn.XLOOKUP(C831,customers!$A$1:$A$1001,customers!$B$1:$B$1001, ,0)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3">
      <c r="A832" s="2" t="s">
        <v>5182</v>
      </c>
      <c r="B832" s="3">
        <v>44414</v>
      </c>
      <c r="C832" s="2" t="s">
        <v>5183</v>
      </c>
      <c r="D832" t="s">
        <v>6141</v>
      </c>
      <c r="E832" s="2">
        <v>2</v>
      </c>
      <c r="F832" s="2" t="str">
        <f>_xlfn.XLOOKUP(C832,customers!$A$1:$A$1001,customers!$B$1:$B$1001, ,0)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Middle</v>
      </c>
      <c r="P832" t="str">
        <f>_xlfn.XLOOKUP(Table1[[#This Row],[Customer ID]],customers!$A$1:$A$1001,customers!$I$1:$I$1001,,0)</f>
        <v>No</v>
      </c>
    </row>
    <row r="833" spans="1:16" x14ac:dyDescent="0.3">
      <c r="A833" s="2" t="s">
        <v>5182</v>
      </c>
      <c r="B833" s="3">
        <v>44414</v>
      </c>
      <c r="C833" s="2" t="s">
        <v>5183</v>
      </c>
      <c r="D833" t="s">
        <v>6154</v>
      </c>
      <c r="E833" s="2">
        <v>2</v>
      </c>
      <c r="F833" s="2" t="str">
        <f>_xlfn.XLOOKUP(C833,customers!$A$1:$A$1001,customers!$B$1:$B$1001, ,0)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ID]],customers!$A$1:$A$1001,customers!$I$1:$I$1001,,0)</f>
        <v>No</v>
      </c>
    </row>
    <row r="834" spans="1:16" x14ac:dyDescent="0.3">
      <c r="A834" s="2" t="s">
        <v>5193</v>
      </c>
      <c r="B834" s="3">
        <v>44274</v>
      </c>
      <c r="C834" s="2" t="s">
        <v>5194</v>
      </c>
      <c r="D834" t="s">
        <v>6138</v>
      </c>
      <c r="E834" s="2">
        <v>6</v>
      </c>
      <c r="F834" s="2" t="str">
        <f>_xlfn.XLOOKUP(C834,customers!$A$1:$A$1001,customers!$B$1:$B$1001, ,0)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Middle</v>
      </c>
      <c r="P834" t="str">
        <f>_xlfn.XLOOKUP(Table1[[#This Row],[Customer ID]],customers!$A$1:$A$1001,customers!$I$1:$I$1001,,0)</f>
        <v>No</v>
      </c>
    </row>
    <row r="835" spans="1:16" x14ac:dyDescent="0.3">
      <c r="A835" s="2" t="s">
        <v>5199</v>
      </c>
      <c r="B835" s="3">
        <v>44302</v>
      </c>
      <c r="C835" s="2" t="s">
        <v>5200</v>
      </c>
      <c r="D835" t="s">
        <v>6149</v>
      </c>
      <c r="E835" s="2">
        <v>4</v>
      </c>
      <c r="F835" s="2" t="str">
        <f>_xlfn.XLOOKUP(C835,customers!$A$1:$A$1001,customers!$B$1:$B$1001, ,0)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IF(I835="Rob","Robusta",IF(I835="Ara","Arabica",IF(I835="Lib","Liberica",IF(I835="Exc","Excelsa",""))))</f>
        <v>Robusta</v>
      </c>
      <c r="O835" t="str">
        <f t="shared" ref="O835:O898" si="41">IF(J835="M","Middle",IF(J835="L","Light",IF(J835="D","Dark","")))</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_xlfn.XLOOKUP(C836,customers!$A$1:$A$1001,customers!$B$1:$B$1001, ,0)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3">
      <c r="A837" s="2" t="s">
        <v>5211</v>
      </c>
      <c r="B837" s="3">
        <v>44270</v>
      </c>
      <c r="C837" s="2" t="s">
        <v>5212</v>
      </c>
      <c r="D837" t="s">
        <v>6176</v>
      </c>
      <c r="E837" s="2">
        <v>1</v>
      </c>
      <c r="F837" s="2" t="str">
        <f>_xlfn.XLOOKUP(C837,customers!$A$1:$A$1001,customers!$B$1:$B$1001, ,0)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_xlfn.XLOOKUP(C838,customers!$A$1:$A$1001,customers!$B$1:$B$1001, ,0)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ID]],customers!$A$1:$A$1001,customers!$I$1:$I$1001,,0)</f>
        <v>No</v>
      </c>
    </row>
    <row r="839" spans="1:16" x14ac:dyDescent="0.3">
      <c r="A839" s="2" t="s">
        <v>5222</v>
      </c>
      <c r="B839" s="3">
        <v>43715</v>
      </c>
      <c r="C839" s="2" t="s">
        <v>5113</v>
      </c>
      <c r="D839" t="s">
        <v>6181</v>
      </c>
      <c r="E839" s="2">
        <v>3</v>
      </c>
      <c r="F839" s="2" t="str">
        <f>_xlfn.XLOOKUP(C839,customers!$A$1:$A$1001,customers!$B$1:$B$1001, ,0)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Middle</v>
      </c>
      <c r="P839" t="str">
        <f>_xlfn.XLOOKUP(Table1[[#This Row],[Customer ID]],customers!$A$1:$A$1001,customers!$I$1:$I$1001,,0)</f>
        <v>No</v>
      </c>
    </row>
    <row r="840" spans="1:16" x14ac:dyDescent="0.3">
      <c r="A840" s="2" t="s">
        <v>5228</v>
      </c>
      <c r="B840" s="3">
        <v>44755</v>
      </c>
      <c r="C840" s="2" t="s">
        <v>5229</v>
      </c>
      <c r="D840" t="s">
        <v>6168</v>
      </c>
      <c r="E840" s="2">
        <v>5</v>
      </c>
      <c r="F840" s="2" t="str">
        <f>_xlfn.XLOOKUP(C840,customers!$A$1:$A$1001,customers!$B$1:$B$1001, ,0)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3">
      <c r="A841" s="2" t="s">
        <v>5234</v>
      </c>
      <c r="B841" s="3">
        <v>44521</v>
      </c>
      <c r="C841" s="2" t="s">
        <v>5235</v>
      </c>
      <c r="D841" t="s">
        <v>6139</v>
      </c>
      <c r="E841" s="2">
        <v>5</v>
      </c>
      <c r="F841" s="2" t="str">
        <f>_xlfn.XLOOKUP(C841,customers!$A$1:$A$1001,customers!$B$1:$B$1001, ,0)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Middle</v>
      </c>
      <c r="P841" t="str">
        <f>_xlfn.XLOOKUP(Table1[[#This Row],[Customer ID]],customers!$A$1:$A$1001,customers!$I$1:$I$1001,,0)</f>
        <v>No</v>
      </c>
    </row>
    <row r="842" spans="1:16" x14ac:dyDescent="0.3">
      <c r="A842" s="2" t="s">
        <v>5240</v>
      </c>
      <c r="B842" s="3">
        <v>44574</v>
      </c>
      <c r="C842" s="2" t="s">
        <v>5241</v>
      </c>
      <c r="D842" t="s">
        <v>6173</v>
      </c>
      <c r="E842" s="2">
        <v>4</v>
      </c>
      <c r="F842" s="2" t="str">
        <f>_xlfn.XLOOKUP(C842,customers!$A$1:$A$1001,customers!$B$1:$B$1001, ,0)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_xlfn.XLOOKUP(C843,customers!$A$1:$A$1001,customers!$B$1:$B$1001, ,0)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Middle</v>
      </c>
      <c r="P843" t="str">
        <f>_xlfn.XLOOKUP(Table1[[#This Row],[Customer ID]],customers!$A$1:$A$1001,customers!$I$1:$I$1001,,0)</f>
        <v>No</v>
      </c>
    </row>
    <row r="844" spans="1:16" x14ac:dyDescent="0.3">
      <c r="A844" s="2" t="s">
        <v>5251</v>
      </c>
      <c r="B844" s="3">
        <v>44502</v>
      </c>
      <c r="C844" s="2" t="s">
        <v>5188</v>
      </c>
      <c r="D844" t="s">
        <v>6156</v>
      </c>
      <c r="E844" s="2">
        <v>2</v>
      </c>
      <c r="F844" s="2" t="str">
        <f>_xlfn.XLOOKUP(C844,customers!$A$1:$A$1001,customers!$B$1:$B$1001, ,0)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Middle</v>
      </c>
      <c r="P844" t="str">
        <f>_xlfn.XLOOKUP(Table1[[#This Row],[Customer ID]],customers!$A$1:$A$1001,customers!$I$1:$I$1001,,0)</f>
        <v>Yes</v>
      </c>
    </row>
    <row r="845" spans="1:16" x14ac:dyDescent="0.3">
      <c r="A845" s="2" t="s">
        <v>5256</v>
      </c>
      <c r="B845" s="3">
        <v>44387</v>
      </c>
      <c r="C845" s="2" t="s">
        <v>5257</v>
      </c>
      <c r="D845" t="s">
        <v>6156</v>
      </c>
      <c r="E845" s="2">
        <v>2</v>
      </c>
      <c r="F845" s="2" t="str">
        <f>_xlfn.XLOOKUP(C845,customers!$A$1:$A$1001,customers!$B$1:$B$1001, ,0)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Middle</v>
      </c>
      <c r="P845" t="str">
        <f>_xlfn.XLOOKUP(Table1[[#This Row],[Customer ID]],customers!$A$1:$A$1001,customers!$I$1:$I$1001,,0)</f>
        <v>Yes</v>
      </c>
    </row>
    <row r="846" spans="1:16" x14ac:dyDescent="0.3">
      <c r="A846" s="2" t="s">
        <v>5262</v>
      </c>
      <c r="B846" s="3">
        <v>44476</v>
      </c>
      <c r="C846" s="2" t="s">
        <v>5263</v>
      </c>
      <c r="D846" t="s">
        <v>6158</v>
      </c>
      <c r="E846" s="2">
        <v>6</v>
      </c>
      <c r="F846" s="2" t="str">
        <f>_xlfn.XLOOKUP(C846,customers!$A$1:$A$1001,customers!$B$1:$B$1001, ,0)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_xlfn.XLOOKUP(C847,customers!$A$1:$A$1001,customers!$B$1:$B$1001, ,0)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3">
      <c r="A848" s="2" t="s">
        <v>5273</v>
      </c>
      <c r="B848" s="3">
        <v>44747</v>
      </c>
      <c r="C848" s="2" t="s">
        <v>5274</v>
      </c>
      <c r="D848" t="s">
        <v>6175</v>
      </c>
      <c r="E848" s="2">
        <v>2</v>
      </c>
      <c r="F848" s="2" t="str">
        <f>_xlfn.XLOOKUP(C848,customers!$A$1:$A$1001,customers!$B$1:$B$1001, ,0)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Middle</v>
      </c>
      <c r="P848" t="str">
        <f>_xlfn.XLOOKUP(Table1[[#This Row],[Customer ID]],customers!$A$1:$A$1001,customers!$I$1:$I$1001,,0)</f>
        <v>Yes</v>
      </c>
    </row>
    <row r="849" spans="1:16" x14ac:dyDescent="0.3">
      <c r="A849" s="2" t="s">
        <v>5278</v>
      </c>
      <c r="B849" s="3">
        <v>44460</v>
      </c>
      <c r="C849" s="2" t="s">
        <v>5279</v>
      </c>
      <c r="D849" t="s">
        <v>6154</v>
      </c>
      <c r="E849" s="2">
        <v>3</v>
      </c>
      <c r="F849" s="2" t="str">
        <f>_xlfn.XLOOKUP(C849,customers!$A$1:$A$1001,customers!$B$1:$B$1001, ,0)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_xlfn.XLOOKUP(C850,customers!$A$1:$A$1001,customers!$B$1:$B$1001, ,0)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_xlfn.XLOOKUP(C851,customers!$A$1:$A$1001,customers!$B$1:$B$1001, ,0)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_xlfn.XLOOKUP(C852,customers!$A$1:$A$1001,customers!$B$1:$B$1001, ,0)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Middle</v>
      </c>
      <c r="P852" t="str">
        <f>_xlfn.XLOOKUP(Table1[[#This Row],[Customer ID]],customers!$A$1:$A$1001,customers!$I$1:$I$1001,,0)</f>
        <v>Yes</v>
      </c>
    </row>
    <row r="853" spans="1:16" x14ac:dyDescent="0.3">
      <c r="A853" s="2" t="s">
        <v>5299</v>
      </c>
      <c r="B853" s="3">
        <v>43900</v>
      </c>
      <c r="C853" s="2" t="s">
        <v>5300</v>
      </c>
      <c r="D853" t="s">
        <v>6169</v>
      </c>
      <c r="E853" s="2">
        <v>1</v>
      </c>
      <c r="F853" s="2" t="str">
        <f>_xlfn.XLOOKUP(C853,customers!$A$1:$A$1001,customers!$B$1:$B$1001, ,0)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_xlfn.XLOOKUP(C854,customers!$A$1:$A$1001,customers!$B$1:$B$1001, ,0)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_xlfn.XLOOKUP(C855,customers!$A$1:$A$1001,customers!$B$1:$B$1001, ,0)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3">
      <c r="A856" s="2" t="s">
        <v>5315</v>
      </c>
      <c r="B856" s="3">
        <v>44516</v>
      </c>
      <c r="C856" s="2" t="s">
        <v>5316</v>
      </c>
      <c r="D856" t="s">
        <v>6173</v>
      </c>
      <c r="E856" s="2">
        <v>5</v>
      </c>
      <c r="F856" s="2" t="str">
        <f>_xlfn.XLOOKUP(C856,customers!$A$1:$A$1001,customers!$B$1:$B$1001, ,0)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_xlfn.XLOOKUP(C857,customers!$A$1:$A$1001,customers!$B$1:$B$1001, ,0)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3">
      <c r="A858" s="2" t="s">
        <v>5327</v>
      </c>
      <c r="B858" s="3">
        <v>44031</v>
      </c>
      <c r="C858" s="2" t="s">
        <v>5188</v>
      </c>
      <c r="D858" t="s">
        <v>6159</v>
      </c>
      <c r="E858" s="2">
        <v>2</v>
      </c>
      <c r="F858" s="2" t="str">
        <f>_xlfn.XLOOKUP(C858,customers!$A$1:$A$1001,customers!$B$1:$B$1001, ,0)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Middle</v>
      </c>
      <c r="P858" t="str">
        <f>_xlfn.XLOOKUP(Table1[[#This Row],[Customer ID]],customers!$A$1:$A$1001,customers!$I$1:$I$1001,,0)</f>
        <v>Yes</v>
      </c>
    </row>
    <row r="859" spans="1:16" x14ac:dyDescent="0.3">
      <c r="A859" s="2" t="s">
        <v>5333</v>
      </c>
      <c r="B859" s="3">
        <v>43889</v>
      </c>
      <c r="C859" s="2" t="s">
        <v>5334</v>
      </c>
      <c r="D859" t="s">
        <v>6142</v>
      </c>
      <c r="E859" s="2">
        <v>5</v>
      </c>
      <c r="F859" s="2" t="str">
        <f>_xlfn.XLOOKUP(C859,customers!$A$1:$A$1001,customers!$B$1:$B$1001, ,0)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_xlfn.XLOOKUP(C860,customers!$A$1:$A$1001,customers!$B$1:$B$1001, ,0)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Middle</v>
      </c>
      <c r="P860" t="str">
        <f>_xlfn.XLOOKUP(Table1[[#This Row],[Customer ID]],customers!$A$1:$A$1001,customers!$I$1:$I$1001,,0)</f>
        <v>No</v>
      </c>
    </row>
    <row r="861" spans="1:16" x14ac:dyDescent="0.3">
      <c r="A861" s="2" t="s">
        <v>5345</v>
      </c>
      <c r="B861" s="3">
        <v>43716</v>
      </c>
      <c r="C861" s="2" t="s">
        <v>5346</v>
      </c>
      <c r="D861" t="s">
        <v>6182</v>
      </c>
      <c r="E861" s="2">
        <v>6</v>
      </c>
      <c r="F861" s="2" t="str">
        <f>_xlfn.XLOOKUP(C861,customers!$A$1:$A$1001,customers!$B$1:$B$1001, ,0)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_xlfn.XLOOKUP(C862,customers!$A$1:$A$1001,customers!$B$1:$B$1001, ,0)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Middle</v>
      </c>
      <c r="P862" t="str">
        <f>_xlfn.XLOOKUP(Table1[[#This Row],[Customer ID]],customers!$A$1:$A$1001,customers!$I$1:$I$1001,,0)</f>
        <v>No</v>
      </c>
    </row>
    <row r="863" spans="1:16" x14ac:dyDescent="0.3">
      <c r="A863" s="2" t="s">
        <v>5356</v>
      </c>
      <c r="B863" s="3">
        <v>43802</v>
      </c>
      <c r="C863" s="2" t="s">
        <v>5357</v>
      </c>
      <c r="D863" t="s">
        <v>6143</v>
      </c>
      <c r="E863" s="2">
        <v>6</v>
      </c>
      <c r="F863" s="2" t="str">
        <f>_xlfn.XLOOKUP(C863,customers!$A$1:$A$1001,customers!$B$1:$B$1001, ,0)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_xlfn.XLOOKUP(C864,customers!$A$1:$A$1001,customers!$B$1:$B$1001, ,0)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Middle</v>
      </c>
      <c r="P864" t="str">
        <f>_xlfn.XLOOKUP(Table1[[#This Row],[Customer ID]],customers!$A$1:$A$1001,customers!$I$1:$I$1001,,0)</f>
        <v>Yes</v>
      </c>
    </row>
    <row r="865" spans="1:16" x14ac:dyDescent="0.3">
      <c r="A865" s="2" t="s">
        <v>5368</v>
      </c>
      <c r="B865" s="3">
        <v>44712</v>
      </c>
      <c r="C865" s="2" t="s">
        <v>5369</v>
      </c>
      <c r="D865" t="s">
        <v>6162</v>
      </c>
      <c r="E865" s="2">
        <v>2</v>
      </c>
      <c r="F865" s="2" t="str">
        <f>_xlfn.XLOOKUP(C865,customers!$A$1:$A$1001,customers!$B$1:$B$1001, ,0)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Middle</v>
      </c>
      <c r="P865" t="str">
        <f>_xlfn.XLOOKUP(Table1[[#This Row],[Customer ID]],customers!$A$1:$A$1001,customers!$I$1:$I$1001,,0)</f>
        <v>Yes</v>
      </c>
    </row>
    <row r="866" spans="1:16" x14ac:dyDescent="0.3">
      <c r="A866" s="2" t="s">
        <v>5374</v>
      </c>
      <c r="B866" s="3">
        <v>43759</v>
      </c>
      <c r="C866" s="2" t="s">
        <v>5375</v>
      </c>
      <c r="D866" t="s">
        <v>6178</v>
      </c>
      <c r="E866" s="2">
        <v>6</v>
      </c>
      <c r="F866" s="2" t="str">
        <f>_xlfn.XLOOKUP(C866,customers!$A$1:$A$1001,customers!$B$1:$B$1001, ,0)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_xlfn.XLOOKUP(C867,customers!$A$1:$A$1001,customers!$B$1:$B$1001, ,0)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Middle</v>
      </c>
      <c r="P867" t="str">
        <f>_xlfn.XLOOKUP(Table1[[#This Row],[Customer ID]],customers!$A$1:$A$1001,customers!$I$1:$I$1001,,0)</f>
        <v>Yes</v>
      </c>
    </row>
    <row r="868" spans="1:16" x14ac:dyDescent="0.3">
      <c r="A868" s="2" t="s">
        <v>5385</v>
      </c>
      <c r="B868" s="3">
        <v>44209</v>
      </c>
      <c r="C868" s="2" t="s">
        <v>5386</v>
      </c>
      <c r="D868" t="s">
        <v>6158</v>
      </c>
      <c r="E868" s="2">
        <v>3</v>
      </c>
      <c r="F868" s="2" t="str">
        <f>_xlfn.XLOOKUP(C868,customers!$A$1:$A$1001,customers!$B$1:$B$1001, ,0)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ID]],customers!$A$1:$A$1001,customers!$I$1:$I$1001,,0)</f>
        <v>No</v>
      </c>
    </row>
    <row r="869" spans="1:16" x14ac:dyDescent="0.3">
      <c r="A869" s="2" t="s">
        <v>5391</v>
      </c>
      <c r="B869" s="3">
        <v>44792</v>
      </c>
      <c r="C869" s="2" t="s">
        <v>5392</v>
      </c>
      <c r="D869" t="s">
        <v>6182</v>
      </c>
      <c r="E869" s="2">
        <v>1</v>
      </c>
      <c r="F869" s="2" t="str">
        <f>_xlfn.XLOOKUP(C869,customers!$A$1:$A$1001,customers!$B$1:$B$1001, ,0)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_xlfn.XLOOKUP(C870,customers!$A$1:$A$1001,customers!$B$1:$B$1001, ,0)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Middle</v>
      </c>
      <c r="P870" t="str">
        <f>_xlfn.XLOOKUP(Table1[[#This Row],[Customer ID]],customers!$A$1:$A$1001,customers!$I$1:$I$1001,,0)</f>
        <v>Yes</v>
      </c>
    </row>
    <row r="871" spans="1:16" x14ac:dyDescent="0.3">
      <c r="A871" s="2" t="s">
        <v>5402</v>
      </c>
      <c r="B871" s="3">
        <v>43851</v>
      </c>
      <c r="C871" s="2" t="s">
        <v>5403</v>
      </c>
      <c r="D871" t="s">
        <v>6146</v>
      </c>
      <c r="E871" s="2">
        <v>3</v>
      </c>
      <c r="F871" s="2" t="str">
        <f>_xlfn.XLOOKUP(C871,customers!$A$1:$A$1001,customers!$B$1:$B$1001, ,0)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Middle</v>
      </c>
      <c r="P871" t="str">
        <f>_xlfn.XLOOKUP(Table1[[#This Row],[Customer ID]],customers!$A$1:$A$1001,customers!$I$1:$I$1001,,0)</f>
        <v>Yes</v>
      </c>
    </row>
    <row r="872" spans="1:16" x14ac:dyDescent="0.3">
      <c r="A872" s="2" t="s">
        <v>5407</v>
      </c>
      <c r="B872" s="3">
        <v>44460</v>
      </c>
      <c r="C872" s="2" t="s">
        <v>5408</v>
      </c>
      <c r="D872" t="s">
        <v>6144</v>
      </c>
      <c r="E872" s="2">
        <v>1</v>
      </c>
      <c r="F872" s="2" t="str">
        <f>_xlfn.XLOOKUP(C872,customers!$A$1:$A$1001,customers!$B$1:$B$1001, ,0)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_xlfn.XLOOKUP(C873,customers!$A$1:$A$1001,customers!$B$1:$B$1001, ,0)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_xlfn.XLOOKUP(C874,customers!$A$1:$A$1001,customers!$B$1:$B$1001, ,0)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Middle</v>
      </c>
      <c r="P874" t="str">
        <f>_xlfn.XLOOKUP(Table1[[#This Row],[Customer ID]],customers!$A$1:$A$1001,customers!$I$1:$I$1001,,0)</f>
        <v>No</v>
      </c>
    </row>
    <row r="875" spans="1:16" x14ac:dyDescent="0.3">
      <c r="A875" s="2" t="s">
        <v>5427</v>
      </c>
      <c r="B875" s="3">
        <v>43725</v>
      </c>
      <c r="C875" s="2" t="s">
        <v>5428</v>
      </c>
      <c r="D875" t="s">
        <v>6174</v>
      </c>
      <c r="E875" s="2">
        <v>4</v>
      </c>
      <c r="F875" s="2" t="str">
        <f>_xlfn.XLOOKUP(C875,customers!$A$1:$A$1001,customers!$B$1:$B$1001, ,0)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Middle</v>
      </c>
      <c r="P875" t="str">
        <f>_xlfn.XLOOKUP(Table1[[#This Row],[Customer ID]],customers!$A$1:$A$1001,customers!$I$1:$I$1001,,0)</f>
        <v>Yes</v>
      </c>
    </row>
    <row r="876" spans="1:16" x14ac:dyDescent="0.3">
      <c r="A876" s="2" t="s">
        <v>5433</v>
      </c>
      <c r="B876" s="3">
        <v>43680</v>
      </c>
      <c r="C876" s="2" t="s">
        <v>5434</v>
      </c>
      <c r="D876" t="s">
        <v>6140</v>
      </c>
      <c r="E876" s="2">
        <v>2</v>
      </c>
      <c r="F876" s="2" t="str">
        <f>_xlfn.XLOOKUP(C876,customers!$A$1:$A$1001,customers!$B$1:$B$1001, ,0)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_xlfn.XLOOKUP(C877,customers!$A$1:$A$1001,customers!$B$1:$B$1001, ,0)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Middle</v>
      </c>
      <c r="P877" t="str">
        <f>_xlfn.XLOOKUP(Table1[[#This Row],[Customer ID]],customers!$A$1:$A$1001,customers!$I$1:$I$1001,,0)</f>
        <v>No</v>
      </c>
    </row>
    <row r="878" spans="1:16" x14ac:dyDescent="0.3">
      <c r="A878" s="2" t="s">
        <v>5439</v>
      </c>
      <c r="B878" s="3">
        <v>44253</v>
      </c>
      <c r="C878" s="2" t="s">
        <v>5440</v>
      </c>
      <c r="D878" t="s">
        <v>6180</v>
      </c>
      <c r="E878" s="2">
        <v>6</v>
      </c>
      <c r="F878" s="2" t="str">
        <f>_xlfn.XLOOKUP(C878,customers!$A$1:$A$1001,customers!$B$1:$B$1001, ,0)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_xlfn.XLOOKUP(C879,customers!$A$1:$A$1001,customers!$B$1:$B$1001, ,0)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_xlfn.XLOOKUP(C880,customers!$A$1:$A$1001,customers!$B$1:$B$1001, ,0)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_xlfn.XLOOKUP(C881,customers!$A$1:$A$1001,customers!$B$1:$B$1001, ,0)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ID]],customers!$A$1:$A$1001,customers!$I$1:$I$1001,,0)</f>
        <v>No</v>
      </c>
    </row>
    <row r="882" spans="1:16" x14ac:dyDescent="0.3">
      <c r="A882" s="2" t="s">
        <v>5466</v>
      </c>
      <c r="B882" s="3">
        <v>43790</v>
      </c>
      <c r="C882" s="2" t="s">
        <v>5467</v>
      </c>
      <c r="D882" t="s">
        <v>6178</v>
      </c>
      <c r="E882" s="2">
        <v>2</v>
      </c>
      <c r="F882" s="2" t="str">
        <f>_xlfn.XLOOKUP(C882,customers!$A$1:$A$1001,customers!$B$1:$B$1001, ,0)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_xlfn.XLOOKUP(C883,customers!$A$1:$A$1001,customers!$B$1:$B$1001, ,0)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_xlfn.XLOOKUP(C884,customers!$A$1:$A$1001,customers!$B$1:$B$1001, ,0)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_xlfn.XLOOKUP(C885,customers!$A$1:$A$1001,customers!$B$1:$B$1001, ,0)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Middle</v>
      </c>
      <c r="P885" t="str">
        <f>_xlfn.XLOOKUP(Table1[[#This Row],[Customer ID]],customers!$A$1:$A$1001,customers!$I$1:$I$1001,,0)</f>
        <v>Yes</v>
      </c>
    </row>
    <row r="886" spans="1:16" x14ac:dyDescent="0.3">
      <c r="A886" s="2" t="s">
        <v>5489</v>
      </c>
      <c r="B886" s="3">
        <v>43941</v>
      </c>
      <c r="C886" s="2" t="s">
        <v>5490</v>
      </c>
      <c r="D886" t="s">
        <v>6172</v>
      </c>
      <c r="E886" s="2">
        <v>1</v>
      </c>
      <c r="F886" s="2" t="str">
        <f>_xlfn.XLOOKUP(C886,customers!$A$1:$A$1001,customers!$B$1:$B$1001, ,0)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_xlfn.XLOOKUP(C887,customers!$A$1:$A$1001,customers!$B$1:$B$1001, ,0)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3">
      <c r="A888" s="2" t="s">
        <v>5501</v>
      </c>
      <c r="B888" s="3">
        <v>44518</v>
      </c>
      <c r="C888" s="2" t="s">
        <v>5502</v>
      </c>
      <c r="D888" t="s">
        <v>6160</v>
      </c>
      <c r="E888" s="2">
        <v>2</v>
      </c>
      <c r="F888" s="2" t="str">
        <f>_xlfn.XLOOKUP(C888,customers!$A$1:$A$1001,customers!$B$1:$B$1001, ,0)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Middle</v>
      </c>
      <c r="P888" t="str">
        <f>_xlfn.XLOOKUP(Table1[[#This Row],[Customer ID]],customers!$A$1:$A$1001,customers!$I$1:$I$1001,,0)</f>
        <v>No</v>
      </c>
    </row>
    <row r="889" spans="1:16" x14ac:dyDescent="0.3">
      <c r="A889" s="2" t="s">
        <v>5507</v>
      </c>
      <c r="B889" s="3">
        <v>44002</v>
      </c>
      <c r="C889" s="2" t="s">
        <v>5508</v>
      </c>
      <c r="D889" t="s">
        <v>6184</v>
      </c>
      <c r="E889" s="2">
        <v>3</v>
      </c>
      <c r="F889" s="2" t="str">
        <f>_xlfn.XLOOKUP(C889,customers!$A$1:$A$1001,customers!$B$1:$B$1001, ,0)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_xlfn.XLOOKUP(C890,customers!$A$1:$A$1001,customers!$B$1:$B$1001, ,0)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_xlfn.XLOOKUP(C891,customers!$A$1:$A$1001,customers!$B$1:$B$1001, ,0)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_xlfn.XLOOKUP(C892,customers!$A$1:$A$1001,customers!$B$1:$B$1001, ,0)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_xlfn.XLOOKUP(C893,customers!$A$1:$A$1001,customers!$B$1:$B$1001, ,0)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_xlfn.XLOOKUP(C894,customers!$A$1:$A$1001,customers!$B$1:$B$1001, ,0)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Middle</v>
      </c>
      <c r="P894" t="str">
        <f>_xlfn.XLOOKUP(Table1[[#This Row],[Customer ID]],customers!$A$1:$A$1001,customers!$I$1:$I$1001,,0)</f>
        <v>No</v>
      </c>
    </row>
    <row r="895" spans="1:16" x14ac:dyDescent="0.3">
      <c r="A895" s="2" t="s">
        <v>5543</v>
      </c>
      <c r="B895" s="3">
        <v>44651</v>
      </c>
      <c r="C895" s="2" t="s">
        <v>5544</v>
      </c>
      <c r="D895" t="s">
        <v>6161</v>
      </c>
      <c r="E895" s="2">
        <v>6</v>
      </c>
      <c r="F895" s="2" t="str">
        <f>_xlfn.XLOOKUP(C895,customers!$A$1:$A$1001,customers!$B$1:$B$1001, ,0)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_xlfn.XLOOKUP(C896,customers!$A$1:$A$1001,customers!$B$1:$B$1001, ,0)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_xlfn.XLOOKUP(C897,customers!$A$1:$A$1001,customers!$B$1:$B$1001, ,0)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Middle</v>
      </c>
      <c r="P897" t="str">
        <f>_xlfn.XLOOKUP(Table1[[#This Row],[Customer ID]],customers!$A$1:$A$1001,customers!$I$1:$I$1001,,0)</f>
        <v>No</v>
      </c>
    </row>
    <row r="898" spans="1:16" x14ac:dyDescent="0.3">
      <c r="A898" s="2" t="s">
        <v>5558</v>
      </c>
      <c r="B898" s="3">
        <v>44347</v>
      </c>
      <c r="C898" s="2" t="s">
        <v>5559</v>
      </c>
      <c r="D898" t="s">
        <v>6172</v>
      </c>
      <c r="E898" s="2">
        <v>6</v>
      </c>
      <c r="F898" s="2" t="str">
        <f>_xlfn.XLOOKUP(C898,customers!$A$1:$A$1001,customers!$B$1:$B$1001, ,0)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_xlfn.XLOOKUP(C899,customers!$A$1:$A$1001,customers!$B$1:$B$1001, ,0)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IF(I899="Rob","Robusta",IF(I899="Ara","Arabica",IF(I899="Lib","Liberica",IF(I899="Exc","Excelsa",""))))</f>
        <v>Excelsa</v>
      </c>
      <c r="O899" t="str">
        <f t="shared" ref="O899:O962" si="44">IF(J899="M","Middle",IF(J899="L","Light",IF(J899="D","Dark","")))</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_xlfn.XLOOKUP(C900,customers!$A$1:$A$1001,customers!$B$1:$B$1001, ,0)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_xlfn.XLOOKUP(C901,customers!$A$1:$A$1001,customers!$B$1:$B$1001, ,0)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Middle</v>
      </c>
      <c r="P901" t="str">
        <f>_xlfn.XLOOKUP(Table1[[#This Row],[Customer ID]],customers!$A$1:$A$1001,customers!$I$1:$I$1001,,0)</f>
        <v>No</v>
      </c>
    </row>
    <row r="902" spans="1:16" x14ac:dyDescent="0.3">
      <c r="A902" s="2" t="s">
        <v>5580</v>
      </c>
      <c r="B902" s="3">
        <v>44584</v>
      </c>
      <c r="C902" s="2" t="s">
        <v>5581</v>
      </c>
      <c r="D902" t="s">
        <v>6170</v>
      </c>
      <c r="E902" s="2">
        <v>3</v>
      </c>
      <c r="F902" s="2" t="str">
        <f>_xlfn.XLOOKUP(C902,customers!$A$1:$A$1001,customers!$B$1:$B$1001, ,0)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_xlfn.XLOOKUP(C903,customers!$A$1:$A$1001,customers!$B$1:$B$1001, ,0)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_xlfn.XLOOKUP(C904,customers!$A$1:$A$1001,customers!$B$1:$B$1001, ,0)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Middle</v>
      </c>
      <c r="P904" t="str">
        <f>_xlfn.XLOOKUP(Table1[[#This Row],[Customer ID]],customers!$A$1:$A$1001,customers!$I$1:$I$1001,,0)</f>
        <v>No</v>
      </c>
    </row>
    <row r="905" spans="1:16" x14ac:dyDescent="0.3">
      <c r="A905" s="2" t="s">
        <v>5597</v>
      </c>
      <c r="B905" s="3">
        <v>43905</v>
      </c>
      <c r="C905" s="2" t="s">
        <v>5598</v>
      </c>
      <c r="D905" t="s">
        <v>6160</v>
      </c>
      <c r="E905" s="2">
        <v>2</v>
      </c>
      <c r="F905" s="2" t="str">
        <f>_xlfn.XLOOKUP(C905,customers!$A$1:$A$1001,customers!$B$1:$B$1001, ,0)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Middle</v>
      </c>
      <c r="P905" t="str">
        <f>_xlfn.XLOOKUP(Table1[[#This Row],[Customer ID]],customers!$A$1:$A$1001,customers!$I$1:$I$1001,,0)</f>
        <v>No</v>
      </c>
    </row>
    <row r="906" spans="1:16" x14ac:dyDescent="0.3">
      <c r="A906" s="2" t="s">
        <v>5603</v>
      </c>
      <c r="B906" s="3">
        <v>44463</v>
      </c>
      <c r="C906" s="2" t="s">
        <v>5604</v>
      </c>
      <c r="D906" t="s">
        <v>6182</v>
      </c>
      <c r="E906" s="2">
        <v>5</v>
      </c>
      <c r="F906" s="2" t="str">
        <f>_xlfn.XLOOKUP(C906,customers!$A$1:$A$1001,customers!$B$1:$B$1001, ,0)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_xlfn.XLOOKUP(C907,customers!$A$1:$A$1001,customers!$B$1:$B$1001, ,0)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Middle</v>
      </c>
      <c r="P907" t="str">
        <f>_xlfn.XLOOKUP(Table1[[#This Row],[Customer ID]],customers!$A$1:$A$1001,customers!$I$1:$I$1001,,0)</f>
        <v>Yes</v>
      </c>
    </row>
    <row r="908" spans="1:16" x14ac:dyDescent="0.3">
      <c r="A908" s="2" t="s">
        <v>5614</v>
      </c>
      <c r="B908" s="3">
        <v>44588</v>
      </c>
      <c r="C908" s="2" t="s">
        <v>5615</v>
      </c>
      <c r="D908" t="s">
        <v>6157</v>
      </c>
      <c r="E908" s="2">
        <v>4</v>
      </c>
      <c r="F908" s="2" t="str">
        <f>_xlfn.XLOOKUP(C908,customers!$A$1:$A$1001,customers!$B$1:$B$1001, ,0)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Middle</v>
      </c>
      <c r="P908" t="str">
        <f>_xlfn.XLOOKUP(Table1[[#This Row],[Customer ID]],customers!$A$1:$A$1001,customers!$I$1:$I$1001,,0)</f>
        <v>Yes</v>
      </c>
    </row>
    <row r="909" spans="1:16" x14ac:dyDescent="0.3">
      <c r="A909" s="2" t="s">
        <v>5620</v>
      </c>
      <c r="B909" s="3">
        <v>44449</v>
      </c>
      <c r="C909" s="2" t="s">
        <v>5621</v>
      </c>
      <c r="D909" t="s">
        <v>6143</v>
      </c>
      <c r="E909" s="2">
        <v>3</v>
      </c>
      <c r="F909" s="2" t="str">
        <f>_xlfn.XLOOKUP(C909,customers!$A$1:$A$1001,customers!$B$1:$B$1001, ,0)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3">
      <c r="A910" s="2" t="s">
        <v>5626</v>
      </c>
      <c r="B910" s="3">
        <v>43836</v>
      </c>
      <c r="C910" s="2" t="s">
        <v>5627</v>
      </c>
      <c r="D910" t="s">
        <v>6179</v>
      </c>
      <c r="E910" s="2">
        <v>5</v>
      </c>
      <c r="F910" s="2" t="str">
        <f>_xlfn.XLOOKUP(C910,customers!$A$1:$A$1001,customers!$B$1:$B$1001, ,0)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_xlfn.XLOOKUP(C911,customers!$A$1:$A$1001,customers!$B$1:$B$1001, ,0)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_xlfn.XLOOKUP(C912,customers!$A$1:$A$1001,customers!$B$1:$B$1001, ,0)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3">
      <c r="A913" s="2" t="s">
        <v>5643</v>
      </c>
      <c r="B913" s="3">
        <v>44511</v>
      </c>
      <c r="C913" s="2" t="s">
        <v>5644</v>
      </c>
      <c r="D913" t="s">
        <v>6155</v>
      </c>
      <c r="E913" s="2">
        <v>4</v>
      </c>
      <c r="F913" s="2" t="str">
        <f>_xlfn.XLOOKUP(C913,customers!$A$1:$A$1001,customers!$B$1:$B$1001, ,0)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Middle</v>
      </c>
      <c r="P913" t="str">
        <f>_xlfn.XLOOKUP(Table1[[#This Row],[Customer ID]],customers!$A$1:$A$1001,customers!$I$1:$I$1001,,0)</f>
        <v>Yes</v>
      </c>
    </row>
    <row r="914" spans="1:16" x14ac:dyDescent="0.3">
      <c r="A914" s="2" t="s">
        <v>5649</v>
      </c>
      <c r="B914" s="3">
        <v>43726</v>
      </c>
      <c r="C914" s="2" t="s">
        <v>5650</v>
      </c>
      <c r="D914" t="s">
        <v>6151</v>
      </c>
      <c r="E914" s="2">
        <v>6</v>
      </c>
      <c r="F914" s="2" t="str">
        <f>_xlfn.XLOOKUP(C914,customers!$A$1:$A$1001,customers!$B$1:$B$1001, ,0)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Middle</v>
      </c>
      <c r="P914" t="str">
        <f>_xlfn.XLOOKUP(Table1[[#This Row],[Customer ID]],customers!$A$1:$A$1001,customers!$I$1:$I$1001,,0)</f>
        <v>Yes</v>
      </c>
    </row>
    <row r="915" spans="1:16" x14ac:dyDescent="0.3">
      <c r="A915" s="2" t="s">
        <v>5654</v>
      </c>
      <c r="B915" s="3">
        <v>44406</v>
      </c>
      <c r="C915" s="2" t="s">
        <v>5655</v>
      </c>
      <c r="D915" t="s">
        <v>6157</v>
      </c>
      <c r="E915" s="2">
        <v>1</v>
      </c>
      <c r="F915" s="2" t="str">
        <f>_xlfn.XLOOKUP(C915,customers!$A$1:$A$1001,customers!$B$1:$B$1001, ,0)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Middle</v>
      </c>
      <c r="P915" t="str">
        <f>_xlfn.XLOOKUP(Table1[[#This Row],[Customer ID]],customers!$A$1:$A$1001,customers!$I$1:$I$1001,,0)</f>
        <v>No</v>
      </c>
    </row>
    <row r="916" spans="1:16" x14ac:dyDescent="0.3">
      <c r="A916" s="2" t="s">
        <v>5660</v>
      </c>
      <c r="B916" s="3">
        <v>44640</v>
      </c>
      <c r="C916" s="2" t="s">
        <v>5661</v>
      </c>
      <c r="D916" t="s">
        <v>6155</v>
      </c>
      <c r="E916" s="2">
        <v>4</v>
      </c>
      <c r="F916" s="2" t="str">
        <f>_xlfn.XLOOKUP(C916,customers!$A$1:$A$1001,customers!$B$1:$B$1001, ,0)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Middle</v>
      </c>
      <c r="P916" t="str">
        <f>_xlfn.XLOOKUP(Table1[[#This Row],[Customer ID]],customers!$A$1:$A$1001,customers!$I$1:$I$1001,,0)</f>
        <v>No</v>
      </c>
    </row>
    <row r="917" spans="1:16" x14ac:dyDescent="0.3">
      <c r="A917" s="2" t="s">
        <v>5666</v>
      </c>
      <c r="B917" s="3">
        <v>43955</v>
      </c>
      <c r="C917" s="2" t="s">
        <v>5667</v>
      </c>
      <c r="D917" t="s">
        <v>6185</v>
      </c>
      <c r="E917" s="2">
        <v>3</v>
      </c>
      <c r="F917" s="2" t="str">
        <f>_xlfn.XLOOKUP(C917,customers!$A$1:$A$1001,customers!$B$1:$B$1001, ,0)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_xlfn.XLOOKUP(C918,customers!$A$1:$A$1001,customers!$B$1:$B$1001, ,0)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_xlfn.XLOOKUP(C919,customers!$A$1:$A$1001,customers!$B$1:$B$1001, ,0)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Middle</v>
      </c>
      <c r="P919" t="str">
        <f>_xlfn.XLOOKUP(Table1[[#This Row],[Customer ID]],customers!$A$1:$A$1001,customers!$I$1:$I$1001,,0)</f>
        <v>No</v>
      </c>
    </row>
    <row r="920" spans="1:16" x14ac:dyDescent="0.3">
      <c r="A920" s="2" t="s">
        <v>5676</v>
      </c>
      <c r="B920" s="3">
        <v>44573</v>
      </c>
      <c r="C920" s="2" t="s">
        <v>5677</v>
      </c>
      <c r="D920" t="s">
        <v>6144</v>
      </c>
      <c r="E920" s="2">
        <v>3</v>
      </c>
      <c r="F920" s="2" t="str">
        <f>_xlfn.XLOOKUP(C920,customers!$A$1:$A$1001,customers!$B$1:$B$1001, ,0)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ID]],customers!$A$1:$A$1001,customers!$I$1:$I$1001,,0)</f>
        <v>No</v>
      </c>
    </row>
    <row r="921" spans="1:16" x14ac:dyDescent="0.3">
      <c r="A921" s="2" t="s">
        <v>5687</v>
      </c>
      <c r="B921" s="3">
        <v>44181</v>
      </c>
      <c r="C921" s="2" t="s">
        <v>5688</v>
      </c>
      <c r="D921" t="s">
        <v>6163</v>
      </c>
      <c r="E921" s="2">
        <v>5</v>
      </c>
      <c r="F921" s="2" t="str">
        <f>_xlfn.XLOOKUP(C921,customers!$A$1:$A$1001,customers!$B$1:$B$1001, ,0)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_xlfn.XLOOKUP(C922,customers!$A$1:$A$1001,customers!$B$1:$B$1001, ,0)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3">
      <c r="A923" s="2" t="s">
        <v>5699</v>
      </c>
      <c r="B923" s="3">
        <v>44509</v>
      </c>
      <c r="C923" s="2" t="s">
        <v>5700</v>
      </c>
      <c r="D923" t="s">
        <v>6150</v>
      </c>
      <c r="E923" s="2">
        <v>2</v>
      </c>
      <c r="F923" s="2" t="str">
        <f>_xlfn.XLOOKUP(C923,customers!$A$1:$A$1001,customers!$B$1:$B$1001, ,0)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ID]],customers!$A$1:$A$1001,customers!$I$1:$I$1001,,0)</f>
        <v>No</v>
      </c>
    </row>
    <row r="924" spans="1:16" x14ac:dyDescent="0.3">
      <c r="A924" s="2" t="s">
        <v>5705</v>
      </c>
      <c r="B924" s="3">
        <v>44659</v>
      </c>
      <c r="C924" s="2" t="s">
        <v>5706</v>
      </c>
      <c r="D924" t="s">
        <v>6155</v>
      </c>
      <c r="E924" s="2">
        <v>6</v>
      </c>
      <c r="F924" s="2" t="str">
        <f>_xlfn.XLOOKUP(C924,customers!$A$1:$A$1001,customers!$B$1:$B$1001, ,0)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Middle</v>
      </c>
      <c r="P924" t="str">
        <f>_xlfn.XLOOKUP(Table1[[#This Row],[Customer ID]],customers!$A$1:$A$1001,customers!$I$1:$I$1001,,0)</f>
        <v>Yes</v>
      </c>
    </row>
    <row r="925" spans="1:16" x14ac:dyDescent="0.3">
      <c r="A925" s="2" t="s">
        <v>5709</v>
      </c>
      <c r="B925" s="3">
        <v>43746</v>
      </c>
      <c r="C925" s="2" t="s">
        <v>5710</v>
      </c>
      <c r="D925" t="s">
        <v>6185</v>
      </c>
      <c r="E925" s="2">
        <v>1</v>
      </c>
      <c r="F925" s="2" t="str">
        <f>_xlfn.XLOOKUP(C925,customers!$A$1:$A$1001,customers!$B$1:$B$1001, ,0)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ID]],customers!$A$1:$A$1001,customers!$I$1:$I$1001,,0)</f>
        <v>No</v>
      </c>
    </row>
    <row r="926" spans="1:16" x14ac:dyDescent="0.3">
      <c r="A926" s="2" t="s">
        <v>5715</v>
      </c>
      <c r="B926" s="3">
        <v>44451</v>
      </c>
      <c r="C926" s="2" t="s">
        <v>5716</v>
      </c>
      <c r="D926" t="s">
        <v>6182</v>
      </c>
      <c r="E926" s="2">
        <v>3</v>
      </c>
      <c r="F926" s="2" t="str">
        <f>_xlfn.XLOOKUP(C926,customers!$A$1:$A$1001,customers!$B$1:$B$1001, ,0)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_xlfn.XLOOKUP(C927,customers!$A$1:$A$1001,customers!$B$1:$B$1001, ,0)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Middle</v>
      </c>
      <c r="P927" t="str">
        <f>_xlfn.XLOOKUP(Table1[[#This Row],[Customer ID]],customers!$A$1:$A$1001,customers!$I$1:$I$1001,,0)</f>
        <v>No</v>
      </c>
    </row>
    <row r="928" spans="1:16" x14ac:dyDescent="0.3">
      <c r="A928" s="2" t="s">
        <v>5725</v>
      </c>
      <c r="B928" s="3">
        <v>44012</v>
      </c>
      <c r="C928" s="2" t="s">
        <v>5726</v>
      </c>
      <c r="D928" t="s">
        <v>6157</v>
      </c>
      <c r="E928" s="2">
        <v>5</v>
      </c>
      <c r="F928" s="2" t="str">
        <f>_xlfn.XLOOKUP(C928,customers!$A$1:$A$1001,customers!$B$1:$B$1001, ,0)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Middle</v>
      </c>
      <c r="P928" t="str">
        <f>_xlfn.XLOOKUP(Table1[[#This Row],[Customer ID]],customers!$A$1:$A$1001,customers!$I$1:$I$1001,,0)</f>
        <v>Yes</v>
      </c>
    </row>
    <row r="929" spans="1:16" x14ac:dyDescent="0.3">
      <c r="A929" s="2" t="s">
        <v>5731</v>
      </c>
      <c r="B929" s="3">
        <v>43474</v>
      </c>
      <c r="C929" s="2" t="s">
        <v>5732</v>
      </c>
      <c r="D929" t="s">
        <v>6185</v>
      </c>
      <c r="E929" s="2">
        <v>4</v>
      </c>
      <c r="F929" s="2" t="str">
        <f>_xlfn.XLOOKUP(C929,customers!$A$1:$A$1001,customers!$B$1:$B$1001, ,0)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ID]],customers!$A$1:$A$1001,customers!$I$1:$I$1001,,0)</f>
        <v>No</v>
      </c>
    </row>
    <row r="930" spans="1:16" x14ac:dyDescent="0.3">
      <c r="A930" s="2" t="s">
        <v>5737</v>
      </c>
      <c r="B930" s="3">
        <v>44754</v>
      </c>
      <c r="C930" s="2" t="s">
        <v>5738</v>
      </c>
      <c r="D930" t="s">
        <v>6166</v>
      </c>
      <c r="E930" s="2">
        <v>2</v>
      </c>
      <c r="F930" s="2" t="str">
        <f>_xlfn.XLOOKUP(C930,customers!$A$1:$A$1001,customers!$B$1:$B$1001, ,0)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Middle</v>
      </c>
      <c r="P930" t="str">
        <f>_xlfn.XLOOKUP(Table1[[#This Row],[Customer ID]],customers!$A$1:$A$1001,customers!$I$1:$I$1001,,0)</f>
        <v>Yes</v>
      </c>
    </row>
    <row r="931" spans="1:16" x14ac:dyDescent="0.3">
      <c r="A931" s="2" t="s">
        <v>5742</v>
      </c>
      <c r="B931" s="3">
        <v>44165</v>
      </c>
      <c r="C931" s="2" t="s">
        <v>5743</v>
      </c>
      <c r="D931" t="s">
        <v>6184</v>
      </c>
      <c r="E931" s="2">
        <v>2</v>
      </c>
      <c r="F931" s="2" t="str">
        <f>_xlfn.XLOOKUP(C931,customers!$A$1:$A$1001,customers!$B$1:$B$1001, ,0)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_xlfn.XLOOKUP(C932,customers!$A$1:$A$1001,customers!$B$1:$B$1001, ,0)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_xlfn.XLOOKUP(C933,customers!$A$1:$A$1001,customers!$B$1:$B$1001, ,0)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_xlfn.XLOOKUP(C934,customers!$A$1:$A$1001,customers!$B$1:$B$1001, ,0)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Middle</v>
      </c>
      <c r="P934" t="str">
        <f>_xlfn.XLOOKUP(Table1[[#This Row],[Customer ID]],customers!$A$1:$A$1001,customers!$I$1:$I$1001,,0)</f>
        <v>No</v>
      </c>
    </row>
    <row r="935" spans="1:16" x14ac:dyDescent="0.3">
      <c r="A935" s="2" t="s">
        <v>5763</v>
      </c>
      <c r="B935" s="3">
        <v>44557</v>
      </c>
      <c r="C935" s="2" t="s">
        <v>5764</v>
      </c>
      <c r="D935" t="s">
        <v>6177</v>
      </c>
      <c r="E935" s="2">
        <v>3</v>
      </c>
      <c r="F935" s="2" t="str">
        <f>_xlfn.XLOOKUP(C935,customers!$A$1:$A$1001,customers!$B$1:$B$1001, ,0)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_xlfn.XLOOKUP(C936,customers!$A$1:$A$1001,customers!$B$1:$B$1001, ,0)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Middle</v>
      </c>
      <c r="P936" t="str">
        <f>_xlfn.XLOOKUP(Table1[[#This Row],[Customer ID]],customers!$A$1:$A$1001,customers!$I$1:$I$1001,,0)</f>
        <v>No</v>
      </c>
    </row>
    <row r="937" spans="1:16" x14ac:dyDescent="0.3">
      <c r="A937" s="2" t="s">
        <v>5774</v>
      </c>
      <c r="B937" s="3">
        <v>44153</v>
      </c>
      <c r="C937" s="2" t="s">
        <v>5775</v>
      </c>
      <c r="D937" t="s">
        <v>6175</v>
      </c>
      <c r="E937" s="2">
        <v>6</v>
      </c>
      <c r="F937" s="2" t="str">
        <f>_xlfn.XLOOKUP(C937,customers!$A$1:$A$1001,customers!$B$1:$B$1001, ,0)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Middle</v>
      </c>
      <c r="P937" t="str">
        <f>_xlfn.XLOOKUP(Table1[[#This Row],[Customer ID]],customers!$A$1:$A$1001,customers!$I$1:$I$1001,,0)</f>
        <v>Yes</v>
      </c>
    </row>
    <row r="938" spans="1:16" x14ac:dyDescent="0.3">
      <c r="A938" s="2" t="s">
        <v>5780</v>
      </c>
      <c r="B938" s="3">
        <v>44493</v>
      </c>
      <c r="C938" s="2" t="s">
        <v>5781</v>
      </c>
      <c r="D938" t="s">
        <v>6169</v>
      </c>
      <c r="E938" s="2">
        <v>3</v>
      </c>
      <c r="F938" s="2" t="str">
        <f>_xlfn.XLOOKUP(C938,customers!$A$1:$A$1001,customers!$B$1:$B$1001, ,0)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_xlfn.XLOOKUP(C939,customers!$A$1:$A$1001,customers!$B$1:$B$1001, ,0)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Middle</v>
      </c>
      <c r="P939" t="str">
        <f>_xlfn.XLOOKUP(Table1[[#This Row],[Customer ID]],customers!$A$1:$A$1001,customers!$I$1:$I$1001,,0)</f>
        <v>Yes</v>
      </c>
    </row>
    <row r="940" spans="1:16" x14ac:dyDescent="0.3">
      <c r="A940" s="2" t="s">
        <v>5791</v>
      </c>
      <c r="B940" s="3">
        <v>43829</v>
      </c>
      <c r="C940" s="2" t="s">
        <v>5792</v>
      </c>
      <c r="D940" t="s">
        <v>6171</v>
      </c>
      <c r="E940" s="2">
        <v>5</v>
      </c>
      <c r="F940" s="2" t="str">
        <f>_xlfn.XLOOKUP(C940,customers!$A$1:$A$1001,customers!$B$1:$B$1001, ,0)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_xlfn.XLOOKUP(C941,customers!$A$1:$A$1001,customers!$B$1:$B$1001, ,0)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_xlfn.XLOOKUP(C942,customers!$A$1:$A$1001,customers!$B$1:$B$1001, ,0)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_xlfn.XLOOKUP(C943,customers!$A$1:$A$1001,customers!$B$1:$B$1001, ,0)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_xlfn.XLOOKUP(C944,customers!$A$1:$A$1001,customers!$B$1:$B$1001, ,0)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_xlfn.XLOOKUP(C945,customers!$A$1:$A$1001,customers!$B$1:$B$1001, ,0)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_xlfn.XLOOKUP(C946,customers!$A$1:$A$1001,customers!$B$1:$B$1001, ,0)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_xlfn.XLOOKUP(C947,customers!$A$1:$A$1001,customers!$B$1:$B$1001, ,0)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3">
      <c r="A948" s="2" t="s">
        <v>5839</v>
      </c>
      <c r="B948" s="3">
        <v>43719</v>
      </c>
      <c r="C948" s="2" t="s">
        <v>5840</v>
      </c>
      <c r="D948" t="s">
        <v>6169</v>
      </c>
      <c r="E948" s="2">
        <v>3</v>
      </c>
      <c r="F948" s="2" t="str">
        <f>_xlfn.XLOOKUP(C948,customers!$A$1:$A$1001,customers!$B$1:$B$1001, ,0)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ID]],customers!$A$1:$A$1001,customers!$I$1:$I$1001,,0)</f>
        <v>No</v>
      </c>
    </row>
    <row r="949" spans="1:16" x14ac:dyDescent="0.3">
      <c r="A949" s="2" t="s">
        <v>5844</v>
      </c>
      <c r="B949" s="3">
        <v>44294</v>
      </c>
      <c r="C949" s="2" t="s">
        <v>5845</v>
      </c>
      <c r="D949" t="s">
        <v>6155</v>
      </c>
      <c r="E949" s="2">
        <v>1</v>
      </c>
      <c r="F949" s="2" t="str">
        <f>_xlfn.XLOOKUP(C949,customers!$A$1:$A$1001,customers!$B$1:$B$1001, ,0)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Middle</v>
      </c>
      <c r="P949" t="str">
        <f>_xlfn.XLOOKUP(Table1[[#This Row],[Customer ID]],customers!$A$1:$A$1001,customers!$I$1:$I$1001,,0)</f>
        <v>No</v>
      </c>
    </row>
    <row r="950" spans="1:16" x14ac:dyDescent="0.3">
      <c r="A950" s="2" t="s">
        <v>5849</v>
      </c>
      <c r="B950" s="3">
        <v>44445</v>
      </c>
      <c r="C950" s="2" t="s">
        <v>5850</v>
      </c>
      <c r="D950" t="s">
        <v>6185</v>
      </c>
      <c r="E950" s="2">
        <v>3</v>
      </c>
      <c r="F950" s="2" t="str">
        <f>_xlfn.XLOOKUP(C950,customers!$A$1:$A$1001,customers!$B$1:$B$1001, ,0)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_xlfn.XLOOKUP(C951,customers!$A$1:$A$1001,customers!$B$1:$B$1001, ,0)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_xlfn.XLOOKUP(C952,customers!$A$1:$A$1001,customers!$B$1:$B$1001, ,0)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_xlfn.XLOOKUP(C953,customers!$A$1:$A$1001,customers!$B$1:$B$1001, ,0)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_xlfn.XLOOKUP(C954,customers!$A$1:$A$1001,customers!$B$1:$B$1001, ,0)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Middle</v>
      </c>
      <c r="P954" t="str">
        <f>_xlfn.XLOOKUP(Table1[[#This Row],[Customer ID]],customers!$A$1:$A$1001,customers!$I$1:$I$1001,,0)</f>
        <v>Yes</v>
      </c>
    </row>
    <row r="955" spans="1:16" x14ac:dyDescent="0.3">
      <c r="A955" s="2" t="s">
        <v>5878</v>
      </c>
      <c r="B955" s="3">
        <v>44582</v>
      </c>
      <c r="C955" s="2" t="s">
        <v>5764</v>
      </c>
      <c r="D955" t="s">
        <v>6167</v>
      </c>
      <c r="E955" s="2">
        <v>1</v>
      </c>
      <c r="F955" s="2" t="str">
        <f>_xlfn.XLOOKUP(C955,customers!$A$1:$A$1001,customers!$B$1:$B$1001, ,0)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_xlfn.XLOOKUP(C956,customers!$A$1:$A$1001,customers!$B$1:$B$1001, ,0)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_xlfn.XLOOKUP(C957,customers!$A$1:$A$1001,customers!$B$1:$B$1001, ,0)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_xlfn.XLOOKUP(C958,customers!$A$1:$A$1001,customers!$B$1:$B$1001, ,0)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_xlfn.XLOOKUP(C959,customers!$A$1:$A$1001,customers!$B$1:$B$1001, ,0)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_xlfn.XLOOKUP(C960,customers!$A$1:$A$1001,customers!$B$1:$B$1001, ,0)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_xlfn.XLOOKUP(C961,customers!$A$1:$A$1001,customers!$B$1:$B$1001, ,0)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_xlfn.XLOOKUP(C962,customers!$A$1:$A$1001,customers!$B$1:$B$1001, ,0)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_xlfn.XLOOKUP(C963,customers!$A$1:$A$1001,customers!$B$1:$B$1001, ,0)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IF(I963="Rob","Robusta",IF(I963="Ara","Arabica",IF(I963="Lib","Liberica",IF(I963="Exc","Excelsa",""))))</f>
        <v>Arabica</v>
      </c>
      <c r="O963" t="str">
        <f t="shared" ref="O963:O1001" si="47">IF(J963="M","Middle",IF(J963="L","Light",IF(J963="D","Dark","")))</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_xlfn.XLOOKUP(C964,customers!$A$1:$A$1001,customers!$B$1:$B$1001, ,0)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_xlfn.XLOOKUP(C965,customers!$A$1:$A$1001,customers!$B$1:$B$1001, ,0)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Middle</v>
      </c>
      <c r="P965" t="str">
        <f>_xlfn.XLOOKUP(Table1[[#This Row],[Customer ID]],customers!$A$1:$A$1001,customers!$I$1:$I$1001,,0)</f>
        <v>Yes</v>
      </c>
    </row>
    <row r="966" spans="1:16" x14ac:dyDescent="0.3">
      <c r="A966" s="2" t="s">
        <v>5938</v>
      </c>
      <c r="B966" s="3">
        <v>43865</v>
      </c>
      <c r="C966" s="2" t="s">
        <v>5939</v>
      </c>
      <c r="D966" t="s">
        <v>6184</v>
      </c>
      <c r="E966" s="2">
        <v>5</v>
      </c>
      <c r="F966" s="2" t="str">
        <f>_xlfn.XLOOKUP(C966,customers!$A$1:$A$1001,customers!$B$1:$B$1001, ,0)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_xlfn.XLOOKUP(C967,customers!$A$1:$A$1001,customers!$B$1:$B$1001, ,0)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Middle</v>
      </c>
      <c r="P967" t="str">
        <f>_xlfn.XLOOKUP(Table1[[#This Row],[Customer ID]],customers!$A$1:$A$1001,customers!$I$1:$I$1001,,0)</f>
        <v>Yes</v>
      </c>
    </row>
    <row r="968" spans="1:16" x14ac:dyDescent="0.3">
      <c r="A968" s="2" t="s">
        <v>5949</v>
      </c>
      <c r="B968" s="3">
        <v>43491</v>
      </c>
      <c r="C968" s="2" t="s">
        <v>5950</v>
      </c>
      <c r="D968" t="s">
        <v>6176</v>
      </c>
      <c r="E968" s="2">
        <v>6</v>
      </c>
      <c r="F968" s="2" t="str">
        <f>_xlfn.XLOOKUP(C968,customers!$A$1:$A$1001,customers!$B$1:$B$1001, ,0)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_xlfn.XLOOKUP(C969,customers!$A$1:$A$1001,customers!$B$1:$B$1001, ,0)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_xlfn.XLOOKUP(C970,customers!$A$1:$A$1001,customers!$B$1:$B$1001, ,0)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Middle</v>
      </c>
      <c r="P970" t="str">
        <f>_xlfn.XLOOKUP(Table1[[#This Row],[Customer ID]],customers!$A$1:$A$1001,customers!$I$1:$I$1001,,0)</f>
        <v>No</v>
      </c>
    </row>
    <row r="971" spans="1:16" x14ac:dyDescent="0.3">
      <c r="A971" s="2" t="s">
        <v>5967</v>
      </c>
      <c r="B971" s="3">
        <v>43649</v>
      </c>
      <c r="C971" s="2" t="s">
        <v>5968</v>
      </c>
      <c r="D971" t="s">
        <v>6143</v>
      </c>
      <c r="E971" s="2">
        <v>1</v>
      </c>
      <c r="F971" s="2" t="str">
        <f>_xlfn.XLOOKUP(C971,customers!$A$1:$A$1001,customers!$B$1:$B$1001, ,0)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_xlfn.XLOOKUP(C972,customers!$A$1:$A$1001,customers!$B$1:$B$1001, ,0)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Middle</v>
      </c>
      <c r="P972" t="str">
        <f>_xlfn.XLOOKUP(Table1[[#This Row],[Customer ID]],customers!$A$1:$A$1001,customers!$I$1:$I$1001,,0)</f>
        <v>No</v>
      </c>
    </row>
    <row r="973" spans="1:16" x14ac:dyDescent="0.3">
      <c r="A973" s="2" t="s">
        <v>5978</v>
      </c>
      <c r="B973" s="3">
        <v>43703</v>
      </c>
      <c r="C973" s="2" t="s">
        <v>5979</v>
      </c>
      <c r="D973" t="s">
        <v>6182</v>
      </c>
      <c r="E973" s="2">
        <v>5</v>
      </c>
      <c r="F973" s="2" t="str">
        <f>_xlfn.XLOOKUP(C973,customers!$A$1:$A$1001,customers!$B$1:$B$1001, ,0)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_xlfn.XLOOKUP(C974,customers!$A$1:$A$1001,customers!$B$1:$B$1001, ,0)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_xlfn.XLOOKUP(C975,customers!$A$1:$A$1001,customers!$B$1:$B$1001, ,0)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Middle</v>
      </c>
      <c r="P975" t="str">
        <f>_xlfn.XLOOKUP(Table1[[#This Row],[Customer ID]],customers!$A$1:$A$1001,customers!$I$1:$I$1001,,0)</f>
        <v>No</v>
      </c>
    </row>
    <row r="976" spans="1:16" x14ac:dyDescent="0.3">
      <c r="A976" s="2" t="s">
        <v>5995</v>
      </c>
      <c r="B976" s="3">
        <v>43556</v>
      </c>
      <c r="C976" s="2" t="s">
        <v>5996</v>
      </c>
      <c r="D976" t="s">
        <v>6172</v>
      </c>
      <c r="E976" s="2">
        <v>1</v>
      </c>
      <c r="F976" s="2" t="str">
        <f>_xlfn.XLOOKUP(C976,customers!$A$1:$A$1001,customers!$B$1:$B$1001, ,0)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_xlfn.XLOOKUP(C977,customers!$A$1:$A$1001,customers!$B$1:$B$1001, ,0)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_xlfn.XLOOKUP(C978,customers!$A$1:$A$1001,customers!$B$1:$B$1001, ,0)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_xlfn.XLOOKUP(C979,customers!$A$1:$A$1001,customers!$B$1:$B$1001, ,0)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_xlfn.XLOOKUP(C980,customers!$A$1:$A$1001,customers!$B$1:$B$1001, ,0)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_xlfn.XLOOKUP(C981,customers!$A$1:$A$1001,customers!$B$1:$B$1001, ,0)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3">
      <c r="A982" s="2" t="s">
        <v>6030</v>
      </c>
      <c r="B982" s="3">
        <v>43982</v>
      </c>
      <c r="C982" s="2" t="s">
        <v>6031</v>
      </c>
      <c r="D982" t="s">
        <v>6185</v>
      </c>
      <c r="E982" s="2">
        <v>6</v>
      </c>
      <c r="F982" s="2" t="str">
        <f>_xlfn.XLOOKUP(C982,customers!$A$1:$A$1001,customers!$B$1:$B$1001, ,0)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_xlfn.XLOOKUP(C983,customers!$A$1:$A$1001,customers!$B$1:$B$1001, ,0)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_xlfn.XLOOKUP(C984,customers!$A$1:$A$1001,customers!$B$1:$B$1001, ,0)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_xlfn.XLOOKUP(C985,customers!$A$1:$A$1001,customers!$B$1:$B$1001, ,0)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Middle</v>
      </c>
      <c r="P985" t="str">
        <f>_xlfn.XLOOKUP(Table1[[#This Row],[Customer ID]],customers!$A$1:$A$1001,customers!$I$1:$I$1001,,0)</f>
        <v>Yes</v>
      </c>
    </row>
    <row r="986" spans="1:16" x14ac:dyDescent="0.3">
      <c r="A986" s="2" t="s">
        <v>6053</v>
      </c>
      <c r="B986" s="3">
        <v>44214</v>
      </c>
      <c r="C986" s="2" t="s">
        <v>6054</v>
      </c>
      <c r="D986" t="s">
        <v>6166</v>
      </c>
      <c r="E986" s="2">
        <v>1</v>
      </c>
      <c r="F986" s="2" t="str">
        <f>_xlfn.XLOOKUP(C986,customers!$A$1:$A$1001,customers!$B$1:$B$1001, ,0)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Middle</v>
      </c>
      <c r="P986" t="str">
        <f>_xlfn.XLOOKUP(Table1[[#This Row],[Customer ID]],customers!$A$1:$A$1001,customers!$I$1:$I$1001,,0)</f>
        <v>Yes</v>
      </c>
    </row>
    <row r="987" spans="1:16" x14ac:dyDescent="0.3">
      <c r="A987" s="2" t="s">
        <v>6058</v>
      </c>
      <c r="B987" s="3">
        <v>44561</v>
      </c>
      <c r="C987" s="2" t="s">
        <v>6059</v>
      </c>
      <c r="D987" t="s">
        <v>6179</v>
      </c>
      <c r="E987" s="2">
        <v>4</v>
      </c>
      <c r="F987" s="2" t="str">
        <f>_xlfn.XLOOKUP(C987,customers!$A$1:$A$1001,customers!$B$1:$B$1001, ,0)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_xlfn.XLOOKUP(C988,customers!$A$1:$A$1001,customers!$B$1:$B$1001, ,0)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Middle</v>
      </c>
      <c r="P988" t="str">
        <f>_xlfn.XLOOKUP(Table1[[#This Row],[Customer ID]],customers!$A$1:$A$1001,customers!$I$1:$I$1001,,0)</f>
        <v>No</v>
      </c>
    </row>
    <row r="989" spans="1:16" x14ac:dyDescent="0.3">
      <c r="A989" s="2" t="s">
        <v>6070</v>
      </c>
      <c r="B989" s="3">
        <v>44247</v>
      </c>
      <c r="C989" s="2" t="s">
        <v>6071</v>
      </c>
      <c r="D989" t="s">
        <v>6158</v>
      </c>
      <c r="E989" s="2">
        <v>5</v>
      </c>
      <c r="F989" s="2" t="str">
        <f>_xlfn.XLOOKUP(C989,customers!$A$1:$A$1001,customers!$B$1:$B$1001, ,0)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_xlfn.XLOOKUP(C990,customers!$A$1:$A$1001,customers!$B$1:$B$1001, ,0)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Middle</v>
      </c>
      <c r="P990" t="str">
        <f>_xlfn.XLOOKUP(Table1[[#This Row],[Customer ID]],customers!$A$1:$A$1001,customers!$I$1:$I$1001,,0)</f>
        <v>Yes</v>
      </c>
    </row>
    <row r="991" spans="1:16" x14ac:dyDescent="0.3">
      <c r="A991" s="2" t="s">
        <v>6081</v>
      </c>
      <c r="B991" s="3">
        <v>43560</v>
      </c>
      <c r="C991" s="2" t="s">
        <v>6082</v>
      </c>
      <c r="D991" t="s">
        <v>6175</v>
      </c>
      <c r="E991" s="2">
        <v>6</v>
      </c>
      <c r="F991" s="2" t="str">
        <f>_xlfn.XLOOKUP(C991,customers!$A$1:$A$1001,customers!$B$1:$B$1001, ,0)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Middle</v>
      </c>
      <c r="P991" t="str">
        <f>_xlfn.XLOOKUP(Table1[[#This Row],[Customer ID]],customers!$A$1:$A$1001,customers!$I$1:$I$1001,,0)</f>
        <v>Yes</v>
      </c>
    </row>
    <row r="992" spans="1:16" x14ac:dyDescent="0.3">
      <c r="A992" s="2" t="s">
        <v>6086</v>
      </c>
      <c r="B992" s="3">
        <v>44718</v>
      </c>
      <c r="C992" s="2" t="s">
        <v>6118</v>
      </c>
      <c r="D992" t="s">
        <v>6153</v>
      </c>
      <c r="E992" s="2">
        <v>5</v>
      </c>
      <c r="F992" s="2" t="str">
        <f>_xlfn.XLOOKUP(C992,customers!$A$1:$A$1001,customers!$B$1:$B$1001, ,0)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ID]],customers!$A$1:$A$1001,customers!$I$1:$I$1001,,0)</f>
        <v>No</v>
      </c>
    </row>
    <row r="993" spans="1:16" x14ac:dyDescent="0.3">
      <c r="A993" s="2" t="s">
        <v>6086</v>
      </c>
      <c r="B993" s="3">
        <v>44718</v>
      </c>
      <c r="C993" s="2" t="s">
        <v>6118</v>
      </c>
      <c r="D993" t="s">
        <v>6169</v>
      </c>
      <c r="E993" s="2">
        <v>2</v>
      </c>
      <c r="F993" s="2" t="str">
        <f>_xlfn.XLOOKUP(C993,customers!$A$1:$A$1001,customers!$B$1:$B$1001, ,0)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ID]],customers!$A$1:$A$1001,customers!$I$1:$I$1001,,0)</f>
        <v>No</v>
      </c>
    </row>
    <row r="994" spans="1:16" x14ac:dyDescent="0.3">
      <c r="A994" s="2" t="s">
        <v>6096</v>
      </c>
      <c r="B994" s="3">
        <v>44276</v>
      </c>
      <c r="C994" s="2" t="s">
        <v>6097</v>
      </c>
      <c r="D994" t="s">
        <v>6164</v>
      </c>
      <c r="E994" s="2">
        <v>3</v>
      </c>
      <c r="F994" s="2" t="str">
        <f>_xlfn.XLOOKUP(C994,customers!$A$1:$A$1001,customers!$B$1:$B$1001, ,0)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_xlfn.XLOOKUP(C995,customers!$A$1:$A$1001,customers!$B$1:$B$1001, ,0)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_xlfn.XLOOKUP(C996,customers!$A$1:$A$1001,customers!$B$1:$B$1001, ,0)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3">
      <c r="A997" s="2" t="s">
        <v>6111</v>
      </c>
      <c r="B997" s="3">
        <v>43836</v>
      </c>
      <c r="C997" s="2" t="s">
        <v>6112</v>
      </c>
      <c r="D997" t="s">
        <v>6142</v>
      </c>
      <c r="E997" s="2">
        <v>1</v>
      </c>
      <c r="F997" s="2" t="str">
        <f>_xlfn.XLOOKUP(C997,customers!$A$1:$A$1001,customers!$B$1:$B$1001, ,0)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_xlfn.XLOOKUP(C998,customers!$A$1:$A$1001,customers!$B$1:$B$1001, ,0)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Middle</v>
      </c>
      <c r="P998" t="str">
        <f>_xlfn.XLOOKUP(Table1[[#This Row],[Customer ID]],customers!$A$1:$A$1001,customers!$I$1:$I$1001,,0)</f>
        <v>No</v>
      </c>
    </row>
    <row r="999" spans="1:16" x14ac:dyDescent="0.3">
      <c r="A999" s="2" t="s">
        <v>6122</v>
      </c>
      <c r="B999" s="3">
        <v>43749</v>
      </c>
      <c r="C999" s="2" t="s">
        <v>6118</v>
      </c>
      <c r="D999" t="s">
        <v>6157</v>
      </c>
      <c r="E999" s="2">
        <v>4</v>
      </c>
      <c r="F999" s="2" t="str">
        <f>_xlfn.XLOOKUP(C999,customers!$A$1:$A$1001,customers!$B$1:$B$1001, ,0)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Middle</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_xlfn.XLOOKUP(C1000,customers!$A$1:$A$1001,customers!$B$1:$B$1001, ,0)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_xlfn.XLOOKUP(C1001,customers!$A$1:$A$1001,customers!$B$1:$B$1001, ,0)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Middle</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24" sqref="A24"/>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TotFiveCostumers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TEDDY ALEZ</cp:lastModifiedBy>
  <cp:revision/>
  <dcterms:created xsi:type="dcterms:W3CDTF">2022-11-26T09:51:45Z</dcterms:created>
  <dcterms:modified xsi:type="dcterms:W3CDTF">2025-11-16T14:04:06Z</dcterms:modified>
  <cp:category/>
  <cp:contentStatus/>
</cp:coreProperties>
</file>